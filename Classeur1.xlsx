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terresinoviafr-my.sharepoint.com/personal/j_pitchers_terresinovia_fr/Documents/Documents/trait dictionnary/"/>
    </mc:Choice>
  </mc:AlternateContent>
  <xr:revisionPtr revIDLastSave="81" documentId="8_{C3A83C6C-4557-4F25-8837-BBC8BEC5B23D}" xr6:coauthVersionLast="47" xr6:coauthVersionMax="47" xr10:uidLastSave="{6509BEB3-7BBE-4F77-9AED-DD16074CD4D8}"/>
  <bookViews>
    <workbookView xWindow="-110" yWindow="-110" windowWidth="19420" windowHeight="10300" xr2:uid="{09F0CE41-5092-4E49-8E11-008AB352E4E3}"/>
  </bookViews>
  <sheets>
    <sheet name="Feuil3" sheetId="2" r:id="rId1"/>
    <sheet name="Feuil2" sheetId="3" r:id="rId2"/>
    <sheet name="Feuil1" sheetId="1" r:id="rId3"/>
  </sheets>
  <definedNames>
    <definedName name="_xlnm._FilterDatabase" localSheetId="0" hidden="1">Feuil3!$A$1:$AA$39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 i="2" l="1"/>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2" i="2"/>
</calcChain>
</file>

<file path=xl/sharedStrings.xml><?xml version="1.0" encoding="utf-8"?>
<sst xmlns="http://schemas.openxmlformats.org/spreadsheetml/2006/main" count="1076" uniqueCount="314">
  <si>
    <t>Ref</t>
  </si>
  <si>
    <t>Class</t>
  </si>
  <si>
    <t>Trait name</t>
  </si>
  <si>
    <t>growth stage</t>
  </si>
  <si>
    <t>Trait abbr.</t>
  </si>
  <si>
    <t>Method description</t>
  </si>
  <si>
    <t>Methode class</t>
  </si>
  <si>
    <t xml:space="preserve">Method abbr. </t>
  </si>
  <si>
    <t>Scale name</t>
  </si>
  <si>
    <t>scale class</t>
  </si>
  <si>
    <t>scale abbr.</t>
  </si>
  <si>
    <t>Var_name</t>
  </si>
  <si>
    <t>Biology Subclass</t>
  </si>
  <si>
    <t>Breeding objective</t>
  </si>
  <si>
    <t xml:space="preserve">Lentil </t>
  </si>
  <si>
    <t xml:space="preserve">Pea </t>
  </si>
  <si>
    <t>Common bean</t>
  </si>
  <si>
    <t>Soybean</t>
  </si>
  <si>
    <t>Faba bean</t>
  </si>
  <si>
    <t>Lucerne</t>
  </si>
  <si>
    <t>Chickpea</t>
  </si>
  <si>
    <t>Sainfoin</t>
  </si>
  <si>
    <t>Red clover</t>
  </si>
  <si>
    <t>White clover</t>
  </si>
  <si>
    <t>Annual clover</t>
  </si>
  <si>
    <t>R48</t>
  </si>
  <si>
    <t>Agronomic</t>
  </si>
  <si>
    <t>Biological Yield</t>
  </si>
  <si>
    <t>BY</t>
  </si>
  <si>
    <t>Measurement of the dry weight of plant material collected from a defined experimental unit (e.g. plant, plot, or plant organ) after drying to constant weight.</t>
  </si>
  <si>
    <t>Measurement</t>
  </si>
  <si>
    <t>DW</t>
  </si>
  <si>
    <t>g/plot</t>
  </si>
  <si>
    <t>Numerical</t>
  </si>
  <si>
    <t>gplot</t>
  </si>
  <si>
    <t>BY_DW_gplot</t>
  </si>
  <si>
    <t>Yield</t>
  </si>
  <si>
    <t>CO_339:0000201</t>
  </si>
  <si>
    <t>NA</t>
  </si>
  <si>
    <t>CO_338:0000304</t>
  </si>
  <si>
    <t>R49</t>
  </si>
  <si>
    <t>g/plant</t>
  </si>
  <si>
    <t>gplt</t>
  </si>
  <si>
    <t>BY_DW_gplt</t>
  </si>
  <si>
    <t>CO_339:0000200</t>
  </si>
  <si>
    <t>CO_338:0000292</t>
  </si>
  <si>
    <t>Computation</t>
  </si>
  <si>
    <t>kg/ha</t>
  </si>
  <si>
    <t>kgha</t>
  </si>
  <si>
    <t>CO_374:0000007</t>
  </si>
  <si>
    <t>R153</t>
  </si>
  <si>
    <t>BBCH 75-89</t>
  </si>
  <si>
    <t>Measured as the dry weight of forage biomass after drying to constant weight</t>
  </si>
  <si>
    <t>Kilogram per sample</t>
  </si>
  <si>
    <t>kg</t>
  </si>
  <si>
    <t>CO_369:0000011</t>
  </si>
  <si>
    <t>R154</t>
  </si>
  <si>
    <t>Measured as the fresh weight of forage biomass at harvest using a scale</t>
  </si>
  <si>
    <t>FW</t>
  </si>
  <si>
    <t>CO_369:0000013</t>
  </si>
  <si>
    <t>R53</t>
  </si>
  <si>
    <t>Forage yield</t>
  </si>
  <si>
    <t>FoYld</t>
  </si>
  <si>
    <t>Computation of dry matter yield based on measured fresh biomass and the corresponding dry matter content.</t>
  </si>
  <si>
    <t>kg/m2</t>
  </si>
  <si>
    <t>kgm2</t>
  </si>
  <si>
    <t>FoYld_DW_kgm2</t>
  </si>
  <si>
    <t>CO_369:0000018</t>
  </si>
  <si>
    <t>R54</t>
  </si>
  <si>
    <t>FoYld_DW_kgha</t>
  </si>
  <si>
    <t>CO_336:0000340</t>
  </si>
  <si>
    <t>CO_369:0000103</t>
  </si>
  <si>
    <t>IDXXX</t>
  </si>
  <si>
    <t>R55</t>
  </si>
  <si>
    <t>FoYld_DW_gplot</t>
  </si>
  <si>
    <t>CO_336:0000262</t>
  </si>
  <si>
    <t>R56</t>
  </si>
  <si>
    <t>FreMatterYld</t>
  </si>
  <si>
    <t>Computation of yield per unit area by dividing the measured fresh biomass by the effective harvested area and converting to standard units (e.g. kg/ha or kg/m²).</t>
  </si>
  <si>
    <t>FreMatterYld_FW_kgha</t>
  </si>
  <si>
    <t>CO_374:0000016</t>
  </si>
  <si>
    <t>R205</t>
  </si>
  <si>
    <t>Forage Yield</t>
  </si>
  <si>
    <t>ForYld</t>
  </si>
  <si>
    <t>t/ha</t>
  </si>
  <si>
    <t>tha</t>
  </si>
  <si>
    <t>ForYld_DW_tha</t>
  </si>
  <si>
    <t>ID_17</t>
  </si>
  <si>
    <t>ID_11</t>
  </si>
  <si>
    <t>R206</t>
  </si>
  <si>
    <t>ForYld_FW_tha</t>
  </si>
  <si>
    <t>ID_32</t>
  </si>
  <si>
    <t>R132</t>
  </si>
  <si>
    <t>Pod yield</t>
  </si>
  <si>
    <t>PodYld</t>
  </si>
  <si>
    <t>Measurement of pod (fruit) yield based on harvested fresh pod biomass at natural moisture content, typically at immature (green) or mature stages depending on the crop and protocol. Results are expressed as fresh biomass per unit area or experimental unit.</t>
  </si>
  <si>
    <t>kg/plot</t>
  </si>
  <si>
    <t>kgplot</t>
  </si>
  <si>
    <t>PodYld_FW_kgplot</t>
  </si>
  <si>
    <t>Yield stability</t>
  </si>
  <si>
    <t>CO_365:0000212</t>
  </si>
  <si>
    <t>R133</t>
  </si>
  <si>
    <t>Measurement of pod (fruit) yield based on harvested pod biomass after drying to constant weight. Results are expressed as dry biomass per unit area or experimental unit.</t>
  </si>
  <si>
    <t>PodYld_DW_gplot</t>
  </si>
  <si>
    <t>CO_365:0000206</t>
  </si>
  <si>
    <t>R134</t>
  </si>
  <si>
    <t>Computation of pod (fruit) yield per unit area based on scaling of measured harvested fresh pod biomass. Results are expressed as fresh biomass per unit area.</t>
  </si>
  <si>
    <t>g/m2</t>
  </si>
  <si>
    <t>gm2</t>
  </si>
  <si>
    <t>PodYld_FW_gm2</t>
  </si>
  <si>
    <t>CO_369:0000042</t>
  </si>
  <si>
    <t>R135</t>
  </si>
  <si>
    <t>measurement of pod (fruit) yield based on harvested pod biomass, typically at immature (green) or mature stages depending on the crop and protocol. Results are expressed as biomass per unit area or experimental unit.</t>
  </si>
  <si>
    <t>PodYld_FW_gplt</t>
  </si>
  <si>
    <t>CO_369:0000043</t>
  </si>
  <si>
    <t>R136</t>
  </si>
  <si>
    <t>Measurement of fresh weight of harvested plant material at natural moisture content.</t>
  </si>
  <si>
    <t>g/raceme</t>
  </si>
  <si>
    <t>grac</t>
  </si>
  <si>
    <t>PodYld_FW_grac</t>
  </si>
  <si>
    <t>CO_369:0000044</t>
  </si>
  <si>
    <t>R138</t>
  </si>
  <si>
    <t>PodYld_FW_kgha</t>
  </si>
  <si>
    <t>CO_369:0000045</t>
  </si>
  <si>
    <t>R175</t>
  </si>
  <si>
    <t>g/stem</t>
  </si>
  <si>
    <t>gstem</t>
  </si>
  <si>
    <t>PodYld_FW_gstem</t>
  </si>
  <si>
    <t>CO_369:0000099</t>
  </si>
  <si>
    <t>R96</t>
  </si>
  <si>
    <t>Seed Yield</t>
  </si>
  <si>
    <t>SdYld</t>
  </si>
  <si>
    <t>Measurement of seed weight after harvest, where seeds are dried or adjusted to a defined standard moisture content (e.g. 13–14%) to ensure comparability across samples.</t>
  </si>
  <si>
    <t>AdjMC</t>
  </si>
  <si>
    <t>SdYld_AdjMC_gplt</t>
  </si>
  <si>
    <t>CO_339:0000255</t>
  </si>
  <si>
    <t>CO_335:0000069</t>
  </si>
  <si>
    <t>CO_365:0000286</t>
  </si>
  <si>
    <t>CO_338:0000273</t>
  </si>
  <si>
    <t>CO_369:0000090</t>
  </si>
  <si>
    <t>CO_374:0000026</t>
  </si>
  <si>
    <t>R97</t>
  </si>
  <si>
    <t>SdYld_AdjMC_gplot</t>
  </si>
  <si>
    <t>CO_335:0000028</t>
  </si>
  <si>
    <t>CO_336:0000261</t>
  </si>
  <si>
    <t>CO_365:0000208</t>
  </si>
  <si>
    <t>CO_338:0000272</t>
  </si>
  <si>
    <t>R98</t>
  </si>
  <si>
    <t>Comparative ranking of phenotypes based on field observations and/or evaluation of product quality traits, using a predefined ordinal scale to assess relative performance among entries within a trial.</t>
  </si>
  <si>
    <t>Comparative ranking</t>
  </si>
  <si>
    <t>CompRank</t>
  </si>
  <si>
    <t>Ranking: 3</t>
  </si>
  <si>
    <t>Ordinal</t>
  </si>
  <si>
    <t>Rk3</t>
  </si>
  <si>
    <t>SdYld_CompRank_Rk3</t>
  </si>
  <si>
    <t>CO_335:0001211</t>
  </si>
  <si>
    <t>R99</t>
  </si>
  <si>
    <t>SdYld_AdjMC_grac</t>
  </si>
  <si>
    <t>CO_369:0000091</t>
  </si>
  <si>
    <t>R100</t>
  </si>
  <si>
    <t>SdYld_AdjMC_gstem</t>
  </si>
  <si>
    <t>CO_369:0000092</t>
  </si>
  <si>
    <t>R101</t>
  </si>
  <si>
    <t>Seed yield</t>
  </si>
  <si>
    <t>SdYld_FW_kgha</t>
  </si>
  <si>
    <t>ID_41</t>
  </si>
  <si>
    <t>R102</t>
  </si>
  <si>
    <t>SdYld_AdjMC_tha</t>
  </si>
  <si>
    <t>CO_365:0000308</t>
  </si>
  <si>
    <t>R103</t>
  </si>
  <si>
    <t>SdYld_AdjMC_gm2</t>
  </si>
  <si>
    <t>CO_369:0000089</t>
  </si>
  <si>
    <t>R215</t>
  </si>
  <si>
    <t>SdYld_AdjMC_kgha</t>
  </si>
  <si>
    <t>CO_339:0000256</t>
  </si>
  <si>
    <t>ID_42</t>
  </si>
  <si>
    <t>CO_335:0000068</t>
  </si>
  <si>
    <t>CO_336:0000337</t>
  </si>
  <si>
    <t>CO_365:0000214</t>
  </si>
  <si>
    <t>ID_64</t>
  </si>
  <si>
    <t>CO_338:0000276</t>
  </si>
  <si>
    <t>CO_369:0000093</t>
  </si>
  <si>
    <t>CO_374:0000025</t>
  </si>
  <si>
    <t>ID_39</t>
  </si>
  <si>
    <t>R104</t>
  </si>
  <si>
    <t>Seed yield production rate</t>
  </si>
  <si>
    <t>SdYldProdRate</t>
  </si>
  <si>
    <t>Seed Yield / Days to maturity rate</t>
  </si>
  <si>
    <t>SdYldToDTMat</t>
  </si>
  <si>
    <t>kg/ha/day</t>
  </si>
  <si>
    <t>kghaday</t>
  </si>
  <si>
    <t>SdYldProdRate_SdYldToDTMat_kghaday</t>
  </si>
  <si>
    <t>CO_335:0000539</t>
  </si>
  <si>
    <t>R8</t>
  </si>
  <si>
    <t>Abiotic stress</t>
  </si>
  <si>
    <t>Drought damage</t>
  </si>
  <si>
    <t>DrghtDam</t>
  </si>
  <si>
    <t>Visual estimation of the proportion (%) of plant or tissue affected by drought-induced damage such as wilting, necrosis, or senescence.</t>
  </si>
  <si>
    <t>Estimation</t>
  </si>
  <si>
    <t>Est</t>
  </si>
  <si>
    <t>Percentage</t>
  </si>
  <si>
    <t>pct</t>
  </si>
  <si>
    <t>DrghtDam_Est_pct</t>
  </si>
  <si>
    <t>Drought</t>
  </si>
  <si>
    <t>CO_336:0000276</t>
  </si>
  <si>
    <t>R9</t>
  </si>
  <si>
    <t>Drought tolerance</t>
  </si>
  <si>
    <t>DrghtTol</t>
  </si>
  <si>
    <t>Computation of drought tolerance index using the formula: 1 − (Ys / Yp), where Ys is yield under drought stress and Yp is yield under non-stress (control) conditions.</t>
  </si>
  <si>
    <t>YldRatio</t>
  </si>
  <si>
    <t>Index</t>
  </si>
  <si>
    <t>idx</t>
  </si>
  <si>
    <t>DrghtTol_YldRatio_idx</t>
  </si>
  <si>
    <t>CO_339:0000218</t>
  </si>
  <si>
    <t>CO_338:0000354</t>
  </si>
  <si>
    <t>R10</t>
  </si>
  <si>
    <t>Computation of drought susceptibility index (DSI) using the formula: DSI = (1 − Yds/Yns) / DII, where Yds and Yns are mean yields under drought stress and non-stress conditions respectively, and DII is the drought intensity index.</t>
  </si>
  <si>
    <t>DSI</t>
  </si>
  <si>
    <t>DrghtTol_DSI_idx</t>
  </si>
  <si>
    <t>CO_335:0000656</t>
  </si>
  <si>
    <t>R21</t>
  </si>
  <si>
    <t>Maturity response to drought</t>
  </si>
  <si>
    <t>MatDr</t>
  </si>
  <si>
    <t>Computation of the geometric mean of maturity duration under drought and/or control conditions: GM = (Π Xi)^(1/n), where Xi are maturity values across environments.</t>
  </si>
  <si>
    <t>GM</t>
  </si>
  <si>
    <t>Duration (day)</t>
  </si>
  <si>
    <t>Duration</t>
  </si>
  <si>
    <t>day</t>
  </si>
  <si>
    <t>MatDr_GM_day</t>
  </si>
  <si>
    <t>CO_335:0000743</t>
  </si>
  <si>
    <t>R26</t>
  </si>
  <si>
    <t>Seed weight response to drought</t>
  </si>
  <si>
    <t>HSWDr</t>
  </si>
  <si>
    <t>Computation of the geometric mean of hundred seed weight under drought and/or control conditions: GM = (Π Xi)^(1/n), where Xi are seed weight values across environments.</t>
  </si>
  <si>
    <t>g/100seed</t>
  </si>
  <si>
    <t>g</t>
  </si>
  <si>
    <t>HSWDr_GM_g</t>
  </si>
  <si>
    <t>CO_335:0000740</t>
  </si>
  <si>
    <t>R27</t>
  </si>
  <si>
    <t>Seed yield response to drought</t>
  </si>
  <si>
    <t>SdYldDr</t>
  </si>
  <si>
    <t>Computation of the geometric mean of seed yield under drought and/or control conditions: GM = (Π Xi)^(1/n), where Xi are yield values across environments.</t>
  </si>
  <si>
    <t>SdYldDr_GM_kgha</t>
  </si>
  <si>
    <t>CO_335:0000737</t>
  </si>
  <si>
    <t>R28</t>
  </si>
  <si>
    <t>Soil available water capacity</t>
  </si>
  <si>
    <t>SoilAWC</t>
  </si>
  <si>
    <t>Calculation of plant-available soil water capacity based on soil physical properties (e.g. field capacity and wilting point) adjusted using field measurements or calibration factors</t>
  </si>
  <si>
    <t>Comp</t>
  </si>
  <si>
    <t>mm</t>
  </si>
  <si>
    <t>SoilAWC_Comp_mm</t>
  </si>
  <si>
    <t>ID_08</t>
  </si>
  <si>
    <t>R29</t>
  </si>
  <si>
    <t>Estimation of plant-available soil water capacity from soil texture,  structure  and expert assessment</t>
  </si>
  <si>
    <t>SoilAWC_Est_mm</t>
  </si>
  <si>
    <t>ID_09</t>
  </si>
  <si>
    <t>R35</t>
  </si>
  <si>
    <t>Plant wilting</t>
  </si>
  <si>
    <t>BBCH 75-79</t>
  </si>
  <si>
    <t>Wilt</t>
  </si>
  <si>
    <t>Estimated visually as plant wilting severity under drought (water deficit) conditions, based on canopy symptoms including leaf rolling, degree of wilting across the canopy, petiole turgidity loss, and presence of dead tissue, assessed between 12:00 and 15:00 under peak evaporative demand</t>
  </si>
  <si>
    <t>1–9 plant wilting severity scale</t>
  </si>
  <si>
    <t>1to9</t>
  </si>
  <si>
    <t>Wilt_Est_1to9</t>
  </si>
  <si>
    <t>CO_335:0000067</t>
  </si>
  <si>
    <t>R36</t>
  </si>
  <si>
    <t>Seed filling under drought</t>
  </si>
  <si>
    <t>BBCH 89</t>
  </si>
  <si>
    <t>SdFillDrt</t>
  </si>
  <si>
    <t>Computed as a seed filling index defined as the ratio of 100-seed dry weight under drought conditions to 100-seed dry weight under irrigated conditions, multiplied by 100</t>
  </si>
  <si>
    <t>Idx</t>
  </si>
  <si>
    <t>SdFillDrt_Idx_pct</t>
  </si>
  <si>
    <t>CO_335:0000662</t>
  </si>
  <si>
    <t>R40</t>
  </si>
  <si>
    <t>Visual scoring of plant response to drought stress using an ordinal scale based on symptoms such as wilting, chlorosis, growth reduction, or survival.</t>
  </si>
  <si>
    <t>1–9 scale</t>
  </si>
  <si>
    <t>DrghtTol_Est_1to9</t>
  </si>
  <si>
    <t>CO_365:0000162</t>
  </si>
  <si>
    <t>ID_15</t>
  </si>
  <si>
    <t>ID_9</t>
  </si>
  <si>
    <t>Dry weight measurement</t>
  </si>
  <si>
    <t>Fresh weight measurement</t>
  </si>
  <si>
    <t>Dry weight computation</t>
  </si>
  <si>
    <t xml:space="preserve">Performance comparative ranking </t>
  </si>
  <si>
    <t>Weight at moisture adjusted content</t>
  </si>
  <si>
    <t xml:space="preserve">Visual estimation of damage </t>
  </si>
  <si>
    <t>Seed yield to maturity duration ratio</t>
  </si>
  <si>
    <t>Drought tolerance index calculation</t>
  </si>
  <si>
    <t>Drought susceptibility index calculation</t>
  </si>
  <si>
    <t>Geometric mean calculation</t>
  </si>
  <si>
    <t>Soil water capacity computation</t>
  </si>
  <si>
    <t>Soil water capacity estimation</t>
  </si>
  <si>
    <t>Wilting severity estimation</t>
  </si>
  <si>
    <t>Seed filling index calculation</t>
  </si>
  <si>
    <t>Methode name</t>
  </si>
  <si>
    <t>Total aboveground plant biomass produced per unit area, including both harvestable and non-harvestable parts. Includes: stems, leaves, pods, seeds</t>
  </si>
  <si>
    <t>Total biomass of forage harvested per unit area from a crop or pasture.</t>
  </si>
  <si>
    <t>Forage mass</t>
  </si>
  <si>
    <t>FoMass</t>
  </si>
  <si>
    <t>FoMass_DW_kg</t>
  </si>
  <si>
    <t>FoMass_FW_kg</t>
  </si>
  <si>
    <t>Total biomass of forage material measured from a plant, plot, or experimental unit.</t>
  </si>
  <si>
    <t>Amount of pod biomass produced per unit area or per experimental unit.</t>
  </si>
  <si>
    <t>Amount of seed biomass produced per unit area or per experimental unit.</t>
  </si>
  <si>
    <t>Rate of seed biomass production over time, typically expressed relative to the duration of the growth or maturity period.</t>
  </si>
  <si>
    <t>Extent of plant injury caused by drought stress, assessed based on visible symptoms or reduction in plant performance.</t>
  </si>
  <si>
    <t>Ability of a plant to maintain growth, yield, or survival under drought stress conditions.</t>
  </si>
  <si>
    <t>Change in plant maturity timing or duration in response to drought stress conditions.</t>
  </si>
  <si>
    <t>Change in seed weight under drought stress compared to non-stress conditions.</t>
  </si>
  <si>
    <t>Change in seed yield under drought stress compared to non-stress conditions.</t>
  </si>
  <si>
    <t>Amount of water in the soil that is available for plant uptake, typically defined as the difference between field capacity and permanent wilting point.</t>
  </si>
  <si>
    <t>Loss of plant turgor resulting in drooping or collapse of leaves and stems, typically caused by water deficit.</t>
  </si>
  <si>
    <t>Extent to which seeds accumulate biomass during development under drought stress conditions.</t>
  </si>
  <si>
    <t>Trait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</si>
</sst>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name val="Aptos Narrow"/>
      <family val="2"/>
      <scheme val="minor"/>
    </font>
    <font>
      <sz val="7"/>
      <color theme="1"/>
      <name val="Segoe UI"/>
      <family val="2"/>
    </font>
  </fonts>
  <fills count="7">
    <fill>
      <patternFill patternType="none"/>
    </fill>
    <fill>
      <patternFill patternType="gray125"/>
    </fill>
    <fill>
      <patternFill patternType="solid">
        <fgColor theme="0" tint="-4.9989318521683403E-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tint="-0.14999847407452621"/>
        <bgColor theme="0" tint="-0.14999847407452621"/>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8">
    <xf numFmtId="0" fontId="0" fillId="0" borderId="0" xfId="0"/>
    <xf numFmtId="0" fontId="0" fillId="2" borderId="0" xfId="0" applyFill="1"/>
    <xf numFmtId="0" fontId="0" fillId="3" borderId="0" xfId="0" applyFill="1"/>
    <xf numFmtId="0" fontId="0" fillId="3" borderId="1" xfId="0" applyFill="1" applyBorder="1"/>
    <xf numFmtId="0" fontId="0" fillId="4" borderId="0" xfId="0" applyFill="1"/>
    <xf numFmtId="0" fontId="0" fillId="5" borderId="0" xfId="0" applyFill="1"/>
    <xf numFmtId="0" fontId="0" fillId="6" borderId="0" xfId="0" applyFill="1"/>
    <xf numFmtId="0" fontId="0" fillId="3" borderId="2" xfId="0" applyFill="1" applyBorder="1"/>
    <xf numFmtId="0" fontId="0" fillId="0" borderId="1" xfId="0" applyBorder="1"/>
    <xf numFmtId="0" fontId="0" fillId="5" borderId="1" xfId="0" applyFill="1" applyBorder="1"/>
    <xf numFmtId="0" fontId="1" fillId="5" borderId="1" xfId="0" applyFont="1" applyFill="1" applyBorder="1"/>
    <xf numFmtId="0" fontId="0" fillId="2" borderId="1" xfId="0" applyFill="1" applyBorder="1"/>
    <xf numFmtId="0" fontId="0" fillId="6" borderId="1" xfId="0" applyFill="1" applyBorder="1"/>
    <xf numFmtId="0" fontId="0" fillId="6" borderId="0" xfId="0" applyFill="1" applyBorder="1"/>
    <xf numFmtId="0" fontId="0" fillId="0" borderId="0" xfId="0" applyBorder="1"/>
    <xf numFmtId="0" fontId="0" fillId="3" borderId="0" xfId="0" applyFill="1" applyBorder="1"/>
    <xf numFmtId="0" fontId="2" fillId="0" borderId="0" xfId="0" applyFont="1" applyAlignment="1">
      <alignment vertical="center"/>
    </xf>
    <xf numFmtId="0" fontId="2" fillId="0" borderId="0" xfId="0" applyFont="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6AC8F-6E51-4AE8-9459-20EBF0FFF3D3}">
  <dimension ref="A1:AA44"/>
  <sheetViews>
    <sheetView tabSelected="1" workbookViewId="0">
      <selection activeCell="J15" sqref="J15"/>
    </sheetView>
  </sheetViews>
  <sheetFormatPr baseColWidth="10" defaultRowHeight="14.5" x14ac:dyDescent="0.35"/>
  <sheetData>
    <row r="1" spans="1:27" x14ac:dyDescent="0.35">
      <c r="A1" s="1" t="s">
        <v>0</v>
      </c>
      <c r="B1" t="s">
        <v>1</v>
      </c>
      <c r="C1" t="s">
        <v>2</v>
      </c>
      <c r="D1" t="s">
        <v>313</v>
      </c>
      <c r="E1" t="s">
        <v>3</v>
      </c>
      <c r="F1" s="2" t="s">
        <v>4</v>
      </c>
      <c r="G1" s="2" t="s">
        <v>294</v>
      </c>
      <c r="H1" t="s">
        <v>5</v>
      </c>
      <c r="I1" t="s">
        <v>6</v>
      </c>
      <c r="J1" s="2" t="s">
        <v>7</v>
      </c>
      <c r="K1" t="s">
        <v>8</v>
      </c>
      <c r="L1" t="s">
        <v>9</v>
      </c>
      <c r="M1" s="2" t="s">
        <v>10</v>
      </c>
      <c r="N1" s="2" t="s">
        <v>11</v>
      </c>
      <c r="O1" t="s">
        <v>12</v>
      </c>
      <c r="P1" t="s">
        <v>13</v>
      </c>
      <c r="Q1" s="3" t="s">
        <v>14</v>
      </c>
      <c r="R1" s="3" t="s">
        <v>15</v>
      </c>
      <c r="S1" s="3" t="s">
        <v>16</v>
      </c>
      <c r="T1" s="3" t="s">
        <v>17</v>
      </c>
      <c r="U1" s="3" t="s">
        <v>18</v>
      </c>
      <c r="V1" s="3" t="s">
        <v>19</v>
      </c>
      <c r="W1" s="3" t="s">
        <v>20</v>
      </c>
      <c r="X1" s="3" t="s">
        <v>21</v>
      </c>
      <c r="Y1" s="3" t="s">
        <v>22</v>
      </c>
      <c r="Z1" s="3" t="s">
        <v>23</v>
      </c>
      <c r="AA1" t="s">
        <v>24</v>
      </c>
    </row>
    <row r="2" spans="1:27" x14ac:dyDescent="0.35">
      <c r="A2" s="4" t="s">
        <v>25</v>
      </c>
      <c r="B2" s="1" t="s">
        <v>26</v>
      </c>
      <c r="C2" s="5" t="s">
        <v>27</v>
      </c>
      <c r="D2" s="5" t="str">
        <f>VLOOKUP(C2,Feuil2!A:B,2,FALSE)</f>
        <v>Total aboveground plant biomass produced per unit area, including both harvestable and non-harvestable parts. Includes: stems, leaves, pods, seeds</v>
      </c>
      <c r="E2" s="5"/>
      <c r="F2" s="2" t="s">
        <v>28</v>
      </c>
      <c r="G2" s="2" t="s">
        <v>280</v>
      </c>
      <c r="H2" s="6" t="s">
        <v>29</v>
      </c>
      <c r="I2" s="5" t="s">
        <v>30</v>
      </c>
      <c r="J2" s="2" t="s">
        <v>31</v>
      </c>
      <c r="K2" s="6" t="s">
        <v>32</v>
      </c>
      <c r="L2" s="5" t="s">
        <v>33</v>
      </c>
      <c r="M2" s="2" t="s">
        <v>34</v>
      </c>
      <c r="N2" s="2" t="s">
        <v>35</v>
      </c>
      <c r="O2" s="5" t="s">
        <v>36</v>
      </c>
      <c r="P2" s="5"/>
      <c r="Q2" s="3" t="s">
        <v>37</v>
      </c>
      <c r="R2" s="3" t="s">
        <v>38</v>
      </c>
      <c r="S2" s="3" t="s">
        <v>38</v>
      </c>
      <c r="T2" s="3" t="s">
        <v>38</v>
      </c>
      <c r="U2" s="3" t="s">
        <v>38</v>
      </c>
      <c r="V2" s="3" t="s">
        <v>38</v>
      </c>
      <c r="W2" s="3" t="s">
        <v>39</v>
      </c>
      <c r="X2" s="3" t="s">
        <v>38</v>
      </c>
      <c r="Y2" s="3" t="s">
        <v>38</v>
      </c>
      <c r="Z2" s="7" t="s">
        <v>38</v>
      </c>
      <c r="AA2" s="3" t="s">
        <v>38</v>
      </c>
    </row>
    <row r="3" spans="1:27" x14ac:dyDescent="0.35">
      <c r="A3" s="4" t="s">
        <v>40</v>
      </c>
      <c r="B3" s="1" t="s">
        <v>26</v>
      </c>
      <c r="C3" t="s">
        <v>27</v>
      </c>
      <c r="D3" s="5" t="str">
        <f>VLOOKUP(C3,Feuil2!A:B,2,FALSE)</f>
        <v>Total aboveground plant biomass produced per unit area, including both harvestable and non-harvestable parts. Includes: stems, leaves, pods, seeds</v>
      </c>
      <c r="F3" s="2" t="s">
        <v>28</v>
      </c>
      <c r="G3" s="2" t="s">
        <v>280</v>
      </c>
      <c r="H3" s="6" t="s">
        <v>29</v>
      </c>
      <c r="I3" t="s">
        <v>30</v>
      </c>
      <c r="J3" s="2" t="s">
        <v>31</v>
      </c>
      <c r="K3" s="6" t="s">
        <v>41</v>
      </c>
      <c r="L3" t="s">
        <v>33</v>
      </c>
      <c r="M3" s="2" t="s">
        <v>42</v>
      </c>
      <c r="N3" s="2" t="s">
        <v>43</v>
      </c>
      <c r="O3" t="s">
        <v>36</v>
      </c>
      <c r="Q3" s="3" t="s">
        <v>44</v>
      </c>
      <c r="R3" s="3" t="s">
        <v>38</v>
      </c>
      <c r="S3" s="3" t="s">
        <v>38</v>
      </c>
      <c r="T3" s="3" t="s">
        <v>38</v>
      </c>
      <c r="U3" s="3" t="s">
        <v>38</v>
      </c>
      <c r="V3" s="3" t="s">
        <v>38</v>
      </c>
      <c r="W3" s="3" t="s">
        <v>45</v>
      </c>
      <c r="X3" s="3" t="s">
        <v>38</v>
      </c>
      <c r="Y3" s="3" t="s">
        <v>38</v>
      </c>
      <c r="Z3" s="7" t="s">
        <v>38</v>
      </c>
      <c r="AA3" s="3" t="s">
        <v>38</v>
      </c>
    </row>
    <row r="4" spans="1:27" x14ac:dyDescent="0.35">
      <c r="A4" s="4" t="s">
        <v>50</v>
      </c>
      <c r="B4" s="1" t="s">
        <v>26</v>
      </c>
      <c r="C4" t="s">
        <v>297</v>
      </c>
      <c r="D4" s="5" t="str">
        <f>VLOOKUP(C4,Feuil2!A:B,2,FALSE)</f>
        <v>Total biomass of forage material measured from a plant, plot, or experimental unit.</v>
      </c>
      <c r="E4" t="s">
        <v>51</v>
      </c>
      <c r="F4" s="2" t="s">
        <v>298</v>
      </c>
      <c r="G4" s="2" t="s">
        <v>280</v>
      </c>
      <c r="H4" s="6" t="s">
        <v>52</v>
      </c>
      <c r="I4" t="s">
        <v>30</v>
      </c>
      <c r="J4" s="2" t="s">
        <v>31</v>
      </c>
      <c r="K4" s="6" t="s">
        <v>53</v>
      </c>
      <c r="L4" t="s">
        <v>33</v>
      </c>
      <c r="M4" s="2" t="s">
        <v>54</v>
      </c>
      <c r="N4" s="2" t="s">
        <v>299</v>
      </c>
      <c r="O4" t="s">
        <v>36</v>
      </c>
      <c r="P4" t="s">
        <v>36</v>
      </c>
      <c r="Q4" s="3" t="s">
        <v>38</v>
      </c>
      <c r="R4" s="3" t="s">
        <v>38</v>
      </c>
      <c r="S4" s="3" t="s">
        <v>38</v>
      </c>
      <c r="T4" s="3" t="s">
        <v>38</v>
      </c>
      <c r="U4" s="3" t="s">
        <v>38</v>
      </c>
      <c r="V4" s="3" t="s">
        <v>38</v>
      </c>
      <c r="W4" s="3" t="s">
        <v>38</v>
      </c>
      <c r="X4" s="8" t="s">
        <v>55</v>
      </c>
      <c r="Y4" s="3" t="s">
        <v>38</v>
      </c>
      <c r="Z4" s="7" t="s">
        <v>38</v>
      </c>
      <c r="AA4" s="3" t="s">
        <v>38</v>
      </c>
    </row>
    <row r="5" spans="1:27" x14ac:dyDescent="0.35">
      <c r="A5" s="4" t="s">
        <v>56</v>
      </c>
      <c r="B5" s="1" t="s">
        <v>26</v>
      </c>
      <c r="C5" s="5" t="s">
        <v>297</v>
      </c>
      <c r="D5" s="5" t="str">
        <f>VLOOKUP(C5,Feuil2!A:B,2,FALSE)</f>
        <v>Total biomass of forage material measured from a plant, plot, or experimental unit.</v>
      </c>
      <c r="E5" s="5" t="s">
        <v>51</v>
      </c>
      <c r="F5" s="2" t="s">
        <v>298</v>
      </c>
      <c r="G5" s="2" t="s">
        <v>281</v>
      </c>
      <c r="H5" s="6" t="s">
        <v>57</v>
      </c>
      <c r="I5" s="5" t="s">
        <v>30</v>
      </c>
      <c r="J5" s="2" t="s">
        <v>58</v>
      </c>
      <c r="K5" s="6" t="s">
        <v>53</v>
      </c>
      <c r="L5" s="5" t="s">
        <v>33</v>
      </c>
      <c r="M5" s="2" t="s">
        <v>54</v>
      </c>
      <c r="N5" s="2" t="s">
        <v>300</v>
      </c>
      <c r="O5" s="5" t="s">
        <v>36</v>
      </c>
      <c r="P5" s="5" t="s">
        <v>36</v>
      </c>
      <c r="Q5" s="3" t="s">
        <v>38</v>
      </c>
      <c r="R5" s="3" t="s">
        <v>38</v>
      </c>
      <c r="S5" s="3" t="s">
        <v>38</v>
      </c>
      <c r="T5" s="3" t="s">
        <v>38</v>
      </c>
      <c r="U5" s="3" t="s">
        <v>38</v>
      </c>
      <c r="V5" s="3" t="s">
        <v>38</v>
      </c>
      <c r="W5" s="3" t="s">
        <v>38</v>
      </c>
      <c r="X5" s="9" t="s">
        <v>59</v>
      </c>
      <c r="Y5" s="3" t="s">
        <v>38</v>
      </c>
      <c r="Z5" s="7" t="s">
        <v>38</v>
      </c>
      <c r="AA5" s="3" t="s">
        <v>38</v>
      </c>
    </row>
    <row r="6" spans="1:27" x14ac:dyDescent="0.35">
      <c r="A6" s="4" t="s">
        <v>60</v>
      </c>
      <c r="B6" s="1" t="s">
        <v>26</v>
      </c>
      <c r="C6" s="1" t="s">
        <v>61</v>
      </c>
      <c r="D6" s="5" t="str">
        <f>VLOOKUP(C6,Feuil2!A:B,2,FALSE)</f>
        <v>Total biomass of forage harvested per unit area from a crop or pasture.</v>
      </c>
      <c r="E6" s="1"/>
      <c r="F6" s="2" t="s">
        <v>62</v>
      </c>
      <c r="G6" s="2" t="s">
        <v>282</v>
      </c>
      <c r="H6" s="2" t="s">
        <v>63</v>
      </c>
      <c r="I6" s="6" t="s">
        <v>46</v>
      </c>
      <c r="J6" s="2" t="s">
        <v>31</v>
      </c>
      <c r="K6" s="2" t="s">
        <v>64</v>
      </c>
      <c r="L6" s="6" t="s">
        <v>33</v>
      </c>
      <c r="M6" s="2" t="s">
        <v>65</v>
      </c>
      <c r="N6" s="2" t="s">
        <v>66</v>
      </c>
      <c r="O6" t="s">
        <v>36</v>
      </c>
      <c r="Q6" s="3" t="s">
        <v>38</v>
      </c>
      <c r="R6" s="3" t="s">
        <v>38</v>
      </c>
      <c r="S6" s="3" t="s">
        <v>38</v>
      </c>
      <c r="T6" s="3" t="s">
        <v>38</v>
      </c>
      <c r="U6" s="3" t="s">
        <v>38</v>
      </c>
      <c r="V6" s="3" t="s">
        <v>38</v>
      </c>
      <c r="W6" s="3" t="s">
        <v>38</v>
      </c>
      <c r="X6" s="3" t="s">
        <v>67</v>
      </c>
      <c r="Y6" s="3" t="s">
        <v>38</v>
      </c>
      <c r="Z6" s="7" t="s">
        <v>38</v>
      </c>
      <c r="AA6" s="3" t="s">
        <v>38</v>
      </c>
    </row>
    <row r="7" spans="1:27" x14ac:dyDescent="0.35">
      <c r="A7" s="4" t="s">
        <v>68</v>
      </c>
      <c r="B7" s="1" t="s">
        <v>26</v>
      </c>
      <c r="C7" s="1" t="s">
        <v>61</v>
      </c>
      <c r="D7" s="5" t="str">
        <f>VLOOKUP(C7,Feuil2!A:B,2,FALSE)</f>
        <v>Total biomass of forage harvested per unit area from a crop or pasture.</v>
      </c>
      <c r="E7" s="1"/>
      <c r="F7" s="2" t="s">
        <v>62</v>
      </c>
      <c r="G7" s="2" t="s">
        <v>282</v>
      </c>
      <c r="H7" s="2" t="s">
        <v>63</v>
      </c>
      <c r="I7" s="6" t="s">
        <v>46</v>
      </c>
      <c r="J7" s="2" t="s">
        <v>31</v>
      </c>
      <c r="K7" s="6" t="s">
        <v>47</v>
      </c>
      <c r="L7" s="5" t="s">
        <v>33</v>
      </c>
      <c r="M7" s="2" t="s">
        <v>48</v>
      </c>
      <c r="N7" s="2" t="s">
        <v>69</v>
      </c>
      <c r="O7" s="5" t="s">
        <v>36</v>
      </c>
      <c r="P7" s="5"/>
      <c r="Q7" s="3" t="s">
        <v>38</v>
      </c>
      <c r="R7" s="3" t="s">
        <v>38</v>
      </c>
      <c r="S7" s="3" t="s">
        <v>38</v>
      </c>
      <c r="T7" s="3" t="s">
        <v>70</v>
      </c>
      <c r="U7" s="3" t="s">
        <v>38</v>
      </c>
      <c r="V7" s="3" t="s">
        <v>38</v>
      </c>
      <c r="W7" s="3" t="s">
        <v>38</v>
      </c>
      <c r="X7" s="3" t="s">
        <v>71</v>
      </c>
      <c r="Y7" s="10" t="s">
        <v>49</v>
      </c>
      <c r="Z7" s="7" t="s">
        <v>72</v>
      </c>
      <c r="AA7" s="3" t="s">
        <v>38</v>
      </c>
    </row>
    <row r="8" spans="1:27" x14ac:dyDescent="0.35">
      <c r="A8" s="4" t="s">
        <v>73</v>
      </c>
      <c r="B8" s="1" t="s">
        <v>26</v>
      </c>
      <c r="C8" s="1" t="s">
        <v>61</v>
      </c>
      <c r="D8" s="5" t="str">
        <f>VLOOKUP(C8,Feuil2!A:B,2,FALSE)</f>
        <v>Total biomass of forage harvested per unit area from a crop or pasture.</v>
      </c>
      <c r="E8" s="1"/>
      <c r="F8" s="2" t="s">
        <v>62</v>
      </c>
      <c r="G8" s="2" t="s">
        <v>282</v>
      </c>
      <c r="H8" s="2" t="s">
        <v>63</v>
      </c>
      <c r="I8" s="6" t="s">
        <v>46</v>
      </c>
      <c r="J8" s="2" t="s">
        <v>31</v>
      </c>
      <c r="K8" s="6" t="s">
        <v>32</v>
      </c>
      <c r="L8" t="s">
        <v>33</v>
      </c>
      <c r="M8" s="2" t="s">
        <v>34</v>
      </c>
      <c r="N8" s="2" t="s">
        <v>74</v>
      </c>
      <c r="O8" t="s">
        <v>36</v>
      </c>
      <c r="Q8" s="3" t="s">
        <v>38</v>
      </c>
      <c r="R8" s="3" t="s">
        <v>38</v>
      </c>
      <c r="S8" s="3" t="s">
        <v>38</v>
      </c>
      <c r="T8" s="3" t="s">
        <v>75</v>
      </c>
      <c r="U8" s="3" t="s">
        <v>38</v>
      </c>
      <c r="V8" s="3" t="s">
        <v>38</v>
      </c>
      <c r="W8" s="3" t="s">
        <v>38</v>
      </c>
      <c r="X8" s="3" t="s">
        <v>38</v>
      </c>
      <c r="Y8" s="3" t="s">
        <v>38</v>
      </c>
      <c r="Z8" s="7" t="s">
        <v>38</v>
      </c>
      <c r="AA8" s="3" t="s">
        <v>38</v>
      </c>
    </row>
    <row r="9" spans="1:27" x14ac:dyDescent="0.35">
      <c r="A9" s="4" t="s">
        <v>76</v>
      </c>
      <c r="B9" s="1" t="s">
        <v>26</v>
      </c>
      <c r="C9" s="1" t="s">
        <v>61</v>
      </c>
      <c r="D9" s="5" t="str">
        <f>VLOOKUP(C9,Feuil2!A:B,2,FALSE)</f>
        <v>Total biomass of forage harvested per unit area from a crop or pasture.</v>
      </c>
      <c r="E9" s="5"/>
      <c r="F9" s="2" t="s">
        <v>77</v>
      </c>
      <c r="G9" s="2" t="s">
        <v>281</v>
      </c>
      <c r="H9" s="6" t="s">
        <v>78</v>
      </c>
      <c r="I9" s="5" t="s">
        <v>46</v>
      </c>
      <c r="J9" s="2" t="s">
        <v>58</v>
      </c>
      <c r="K9" s="6" t="s">
        <v>47</v>
      </c>
      <c r="L9" s="5" t="s">
        <v>33</v>
      </c>
      <c r="M9" s="2" t="s">
        <v>48</v>
      </c>
      <c r="N9" s="2" t="s">
        <v>79</v>
      </c>
      <c r="O9" s="5" t="s">
        <v>36</v>
      </c>
      <c r="P9" s="5"/>
      <c r="Q9" s="3" t="s">
        <v>38</v>
      </c>
      <c r="R9" s="3" t="s">
        <v>38</v>
      </c>
      <c r="S9" s="3" t="s">
        <v>38</v>
      </c>
      <c r="T9" s="3" t="s">
        <v>38</v>
      </c>
      <c r="U9" s="3" t="s">
        <v>38</v>
      </c>
      <c r="V9" s="3" t="s">
        <v>38</v>
      </c>
      <c r="W9" s="3" t="s">
        <v>38</v>
      </c>
      <c r="X9" s="3" t="s">
        <v>38</v>
      </c>
      <c r="Y9" s="3" t="s">
        <v>80</v>
      </c>
      <c r="Z9" s="7" t="s">
        <v>72</v>
      </c>
      <c r="AA9" s="3" t="s">
        <v>38</v>
      </c>
    </row>
    <row r="10" spans="1:27" x14ac:dyDescent="0.35">
      <c r="A10" s="4" t="s">
        <v>81</v>
      </c>
      <c r="B10" s="1" t="s">
        <v>26</v>
      </c>
      <c r="C10" t="s">
        <v>82</v>
      </c>
      <c r="D10" s="5" t="str">
        <f>VLOOKUP(C10,Feuil2!A:B,2,FALSE)</f>
        <v>Total biomass of forage harvested per unit area from a crop or pasture.</v>
      </c>
      <c r="F10" s="2" t="s">
        <v>83</v>
      </c>
      <c r="G10" s="2" t="s">
        <v>280</v>
      </c>
      <c r="H10" s="6" t="s">
        <v>29</v>
      </c>
      <c r="I10" t="s">
        <v>46</v>
      </c>
      <c r="J10" s="2" t="s">
        <v>31</v>
      </c>
      <c r="K10" s="6" t="s">
        <v>84</v>
      </c>
      <c r="L10" t="s">
        <v>33</v>
      </c>
      <c r="M10" s="2" t="s">
        <v>85</v>
      </c>
      <c r="N10" s="2" t="s">
        <v>86</v>
      </c>
      <c r="O10" t="s">
        <v>36</v>
      </c>
      <c r="Q10" s="3" t="s">
        <v>38</v>
      </c>
      <c r="R10" s="3" t="s">
        <v>38</v>
      </c>
      <c r="S10" s="3" t="s">
        <v>38</v>
      </c>
      <c r="T10" s="3" t="s">
        <v>38</v>
      </c>
      <c r="U10" s="3" t="s">
        <v>38</v>
      </c>
      <c r="V10" s="3" t="s">
        <v>87</v>
      </c>
      <c r="W10" s="3" t="s">
        <v>38</v>
      </c>
      <c r="X10" s="3" t="s">
        <v>38</v>
      </c>
      <c r="Y10" s="3" t="s">
        <v>38</v>
      </c>
      <c r="Z10" s="7" t="s">
        <v>38</v>
      </c>
      <c r="AA10" s="8" t="s">
        <v>88</v>
      </c>
    </row>
    <row r="11" spans="1:27" x14ac:dyDescent="0.35">
      <c r="A11" s="4" t="s">
        <v>89</v>
      </c>
      <c r="B11" s="1" t="s">
        <v>26</v>
      </c>
      <c r="C11" s="1" t="s">
        <v>61</v>
      </c>
      <c r="D11" s="5" t="str">
        <f>VLOOKUP(C11,Feuil2!A:B,2,FALSE)</f>
        <v>Total biomass of forage harvested per unit area from a crop or pasture.</v>
      </c>
      <c r="E11" s="5"/>
      <c r="F11" s="2" t="s">
        <v>83</v>
      </c>
      <c r="G11" s="2" t="s">
        <v>281</v>
      </c>
      <c r="H11" s="6" t="s">
        <v>78</v>
      </c>
      <c r="I11" s="5" t="s">
        <v>46</v>
      </c>
      <c r="J11" s="2" t="s">
        <v>58</v>
      </c>
      <c r="K11" s="6" t="s">
        <v>84</v>
      </c>
      <c r="L11" s="5" t="s">
        <v>33</v>
      </c>
      <c r="M11" s="2" t="s">
        <v>85</v>
      </c>
      <c r="N11" s="2" t="s">
        <v>90</v>
      </c>
      <c r="O11" s="5" t="s">
        <v>36</v>
      </c>
      <c r="P11" s="5"/>
      <c r="Q11" s="3" t="s">
        <v>38</v>
      </c>
      <c r="R11" s="2" t="s">
        <v>38</v>
      </c>
      <c r="S11" s="3" t="s">
        <v>38</v>
      </c>
      <c r="T11" s="3" t="s">
        <v>38</v>
      </c>
      <c r="U11" s="3" t="s">
        <v>38</v>
      </c>
      <c r="V11" s="3" t="s">
        <v>91</v>
      </c>
      <c r="W11" s="3" t="s">
        <v>38</v>
      </c>
      <c r="X11" s="3" t="s">
        <v>38</v>
      </c>
      <c r="Y11" s="3" t="s">
        <v>38</v>
      </c>
      <c r="Z11" s="7" t="s">
        <v>38</v>
      </c>
      <c r="AA11" s="9" t="s">
        <v>87</v>
      </c>
    </row>
    <row r="12" spans="1:27" x14ac:dyDescent="0.35">
      <c r="A12" s="4" t="s">
        <v>92</v>
      </c>
      <c r="B12" s="1" t="s">
        <v>26</v>
      </c>
      <c r="C12" t="s">
        <v>93</v>
      </c>
      <c r="D12" s="5" t="str">
        <f>VLOOKUP(C12,Feuil2!A:B,2,FALSE)</f>
        <v>Amount of pod biomass produced per unit area or per experimental unit.</v>
      </c>
      <c r="F12" s="2" t="s">
        <v>94</v>
      </c>
      <c r="G12" s="2" t="s">
        <v>281</v>
      </c>
      <c r="H12" s="6" t="s">
        <v>95</v>
      </c>
      <c r="I12" t="s">
        <v>30</v>
      </c>
      <c r="J12" s="2" t="s">
        <v>58</v>
      </c>
      <c r="K12" s="6" t="s">
        <v>96</v>
      </c>
      <c r="L12" t="s">
        <v>33</v>
      </c>
      <c r="M12" s="2" t="s">
        <v>97</v>
      </c>
      <c r="N12" s="2" t="s">
        <v>98</v>
      </c>
      <c r="O12" t="s">
        <v>36</v>
      </c>
      <c r="P12" t="s">
        <v>99</v>
      </c>
      <c r="Q12" s="3" t="s">
        <v>38</v>
      </c>
      <c r="R12" s="3" t="s">
        <v>38</v>
      </c>
      <c r="S12" s="3" t="s">
        <v>38</v>
      </c>
      <c r="T12" s="3" t="s">
        <v>38</v>
      </c>
      <c r="U12" s="3" t="s">
        <v>100</v>
      </c>
      <c r="V12" s="3" t="s">
        <v>38</v>
      </c>
      <c r="W12" s="3" t="s">
        <v>38</v>
      </c>
      <c r="X12" s="3" t="s">
        <v>38</v>
      </c>
      <c r="Y12" s="3" t="s">
        <v>38</v>
      </c>
      <c r="Z12" s="7" t="s">
        <v>38</v>
      </c>
      <c r="AA12" s="3" t="s">
        <v>38</v>
      </c>
    </row>
    <row r="13" spans="1:27" x14ac:dyDescent="0.35">
      <c r="A13" s="4" t="s">
        <v>101</v>
      </c>
      <c r="B13" s="1" t="s">
        <v>26</v>
      </c>
      <c r="C13" s="5" t="s">
        <v>93</v>
      </c>
      <c r="D13" s="5" t="str">
        <f>VLOOKUP(C13,Feuil2!A:B,2,FALSE)</f>
        <v>Amount of pod biomass produced per unit area or per experimental unit.</v>
      </c>
      <c r="E13" s="5"/>
      <c r="F13" s="2" t="s">
        <v>94</v>
      </c>
      <c r="G13" s="2" t="s">
        <v>282</v>
      </c>
      <c r="H13" s="6" t="s">
        <v>102</v>
      </c>
      <c r="I13" s="5" t="s">
        <v>30</v>
      </c>
      <c r="J13" s="2" t="s">
        <v>31</v>
      </c>
      <c r="K13" s="6" t="s">
        <v>32</v>
      </c>
      <c r="L13" s="5" t="s">
        <v>33</v>
      </c>
      <c r="M13" s="2" t="s">
        <v>34</v>
      </c>
      <c r="N13" s="2" t="s">
        <v>103</v>
      </c>
      <c r="O13" s="5" t="s">
        <v>36</v>
      </c>
      <c r="P13" s="5" t="s">
        <v>99</v>
      </c>
      <c r="Q13" s="3" t="s">
        <v>38</v>
      </c>
      <c r="R13" s="3" t="s">
        <v>38</v>
      </c>
      <c r="S13" s="3" t="s">
        <v>38</v>
      </c>
      <c r="T13" s="3" t="s">
        <v>38</v>
      </c>
      <c r="U13" s="3" t="s">
        <v>104</v>
      </c>
      <c r="V13" s="3" t="s">
        <v>38</v>
      </c>
      <c r="W13" s="3" t="s">
        <v>38</v>
      </c>
      <c r="X13" s="3" t="s">
        <v>38</v>
      </c>
      <c r="Y13" s="3" t="s">
        <v>38</v>
      </c>
      <c r="Z13" s="7" t="s">
        <v>38</v>
      </c>
      <c r="AA13" s="3" t="s">
        <v>38</v>
      </c>
    </row>
    <row r="14" spans="1:27" x14ac:dyDescent="0.35">
      <c r="A14" s="4" t="s">
        <v>105</v>
      </c>
      <c r="B14" s="1" t="s">
        <v>26</v>
      </c>
      <c r="C14" t="s">
        <v>93</v>
      </c>
      <c r="D14" s="5" t="str">
        <f>VLOOKUP(C14,Feuil2!A:B,2,FALSE)</f>
        <v>Amount of pod biomass produced per unit area or per experimental unit.</v>
      </c>
      <c r="F14" s="2" t="s">
        <v>94</v>
      </c>
      <c r="G14" s="2" t="s">
        <v>281</v>
      </c>
      <c r="H14" s="6" t="s">
        <v>106</v>
      </c>
      <c r="I14" t="s">
        <v>46</v>
      </c>
      <c r="J14" s="2" t="s">
        <v>58</v>
      </c>
      <c r="K14" s="6" t="s">
        <v>107</v>
      </c>
      <c r="L14" t="s">
        <v>33</v>
      </c>
      <c r="M14" s="2" t="s">
        <v>108</v>
      </c>
      <c r="N14" s="2" t="s">
        <v>109</v>
      </c>
      <c r="O14" t="s">
        <v>36</v>
      </c>
      <c r="P14" t="s">
        <v>99</v>
      </c>
      <c r="Q14" s="3" t="s">
        <v>38</v>
      </c>
      <c r="R14" s="3" t="s">
        <v>38</v>
      </c>
      <c r="S14" s="3" t="s">
        <v>38</v>
      </c>
      <c r="T14" s="3" t="s">
        <v>38</v>
      </c>
      <c r="U14" s="3" t="s">
        <v>38</v>
      </c>
      <c r="V14" s="3" t="s">
        <v>38</v>
      </c>
      <c r="W14" s="3" t="s">
        <v>38</v>
      </c>
      <c r="X14" s="3" t="s">
        <v>110</v>
      </c>
      <c r="Y14" s="3" t="s">
        <v>38</v>
      </c>
      <c r="Z14" s="7" t="s">
        <v>38</v>
      </c>
      <c r="AA14" s="3" t="s">
        <v>38</v>
      </c>
    </row>
    <row r="15" spans="1:27" x14ac:dyDescent="0.35">
      <c r="A15" s="4" t="s">
        <v>111</v>
      </c>
      <c r="B15" s="1" t="s">
        <v>26</v>
      </c>
      <c r="C15" s="5" t="s">
        <v>93</v>
      </c>
      <c r="D15" s="5" t="str">
        <f>VLOOKUP(C15,Feuil2!A:B,2,FALSE)</f>
        <v>Amount of pod biomass produced per unit area or per experimental unit.</v>
      </c>
      <c r="E15" s="5"/>
      <c r="F15" s="2" t="s">
        <v>94</v>
      </c>
      <c r="G15" s="2" t="s">
        <v>281</v>
      </c>
      <c r="H15" s="6" t="s">
        <v>112</v>
      </c>
      <c r="I15" s="5" t="s">
        <v>30</v>
      </c>
      <c r="J15" s="2" t="s">
        <v>58</v>
      </c>
      <c r="K15" s="6" t="s">
        <v>41</v>
      </c>
      <c r="L15" s="5" t="s">
        <v>33</v>
      </c>
      <c r="M15" s="2" t="s">
        <v>42</v>
      </c>
      <c r="N15" s="2" t="s">
        <v>113</v>
      </c>
      <c r="O15" s="5" t="s">
        <v>36</v>
      </c>
      <c r="P15" s="5" t="s">
        <v>99</v>
      </c>
      <c r="Q15" s="3" t="s">
        <v>38</v>
      </c>
      <c r="R15" s="3" t="s">
        <v>38</v>
      </c>
      <c r="S15" s="3" t="s">
        <v>38</v>
      </c>
      <c r="T15" s="3" t="s">
        <v>38</v>
      </c>
      <c r="U15" s="3" t="s">
        <v>38</v>
      </c>
      <c r="V15" s="3" t="s">
        <v>38</v>
      </c>
      <c r="W15" s="3" t="s">
        <v>38</v>
      </c>
      <c r="X15" s="3" t="s">
        <v>114</v>
      </c>
      <c r="Y15" s="3" t="s">
        <v>38</v>
      </c>
      <c r="Z15" s="7" t="s">
        <v>38</v>
      </c>
      <c r="AA15" s="3" t="s">
        <v>38</v>
      </c>
    </row>
    <row r="16" spans="1:27" x14ac:dyDescent="0.35">
      <c r="A16" s="4" t="s">
        <v>115</v>
      </c>
      <c r="B16" s="1" t="s">
        <v>26</v>
      </c>
      <c r="C16" t="s">
        <v>93</v>
      </c>
      <c r="D16" s="5" t="str">
        <f>VLOOKUP(C16,Feuil2!A:B,2,FALSE)</f>
        <v>Amount of pod biomass produced per unit area or per experimental unit.</v>
      </c>
      <c r="F16" s="2" t="s">
        <v>94</v>
      </c>
      <c r="G16" s="2" t="s">
        <v>281</v>
      </c>
      <c r="H16" s="6" t="s">
        <v>116</v>
      </c>
      <c r="I16" t="s">
        <v>30</v>
      </c>
      <c r="J16" s="2" t="s">
        <v>58</v>
      </c>
      <c r="K16" s="6" t="s">
        <v>117</v>
      </c>
      <c r="L16" t="s">
        <v>33</v>
      </c>
      <c r="M16" s="2" t="s">
        <v>118</v>
      </c>
      <c r="N16" s="2" t="s">
        <v>119</v>
      </c>
      <c r="O16" t="s">
        <v>36</v>
      </c>
      <c r="P16" t="s">
        <v>99</v>
      </c>
      <c r="Q16" s="3" t="s">
        <v>38</v>
      </c>
      <c r="R16" s="3" t="s">
        <v>38</v>
      </c>
      <c r="S16" s="3" t="s">
        <v>38</v>
      </c>
      <c r="T16" s="3" t="s">
        <v>38</v>
      </c>
      <c r="U16" s="3" t="s">
        <v>38</v>
      </c>
      <c r="V16" s="3" t="s">
        <v>38</v>
      </c>
      <c r="W16" s="3" t="s">
        <v>38</v>
      </c>
      <c r="X16" s="3" t="s">
        <v>120</v>
      </c>
      <c r="Y16" s="3" t="s">
        <v>38</v>
      </c>
      <c r="Z16" s="7" t="s">
        <v>38</v>
      </c>
      <c r="AA16" s="3" t="s">
        <v>38</v>
      </c>
    </row>
    <row r="17" spans="1:27" x14ac:dyDescent="0.35">
      <c r="A17" s="4" t="s">
        <v>121</v>
      </c>
      <c r="B17" s="1" t="s">
        <v>26</v>
      </c>
      <c r="C17" s="5" t="s">
        <v>93</v>
      </c>
      <c r="D17" s="5" t="str">
        <f>VLOOKUP(C17,Feuil2!A:B,2,FALSE)</f>
        <v>Amount of pod biomass produced per unit area or per experimental unit.</v>
      </c>
      <c r="E17" s="5"/>
      <c r="F17" s="2" t="s">
        <v>94</v>
      </c>
      <c r="G17" s="2" t="s">
        <v>281</v>
      </c>
      <c r="H17" s="6" t="s">
        <v>106</v>
      </c>
      <c r="I17" s="5" t="s">
        <v>46</v>
      </c>
      <c r="J17" s="2" t="s">
        <v>58</v>
      </c>
      <c r="K17" s="6" t="s">
        <v>47</v>
      </c>
      <c r="L17" s="5" t="s">
        <v>33</v>
      </c>
      <c r="M17" s="2" t="s">
        <v>48</v>
      </c>
      <c r="N17" s="2" t="s">
        <v>122</v>
      </c>
      <c r="O17" s="5" t="s">
        <v>36</v>
      </c>
      <c r="P17" s="5" t="s">
        <v>99</v>
      </c>
      <c r="Q17" s="3" t="s">
        <v>38</v>
      </c>
      <c r="R17" s="3" t="s">
        <v>38</v>
      </c>
      <c r="S17" s="3" t="s">
        <v>38</v>
      </c>
      <c r="T17" s="3" t="s">
        <v>38</v>
      </c>
      <c r="U17" s="3" t="s">
        <v>38</v>
      </c>
      <c r="V17" s="3" t="s">
        <v>38</v>
      </c>
      <c r="W17" s="3" t="s">
        <v>38</v>
      </c>
      <c r="X17" s="3" t="s">
        <v>123</v>
      </c>
      <c r="Y17" s="3" t="s">
        <v>38</v>
      </c>
      <c r="Z17" s="7" t="s">
        <v>38</v>
      </c>
      <c r="AA17" s="3" t="s">
        <v>38</v>
      </c>
    </row>
    <row r="18" spans="1:27" x14ac:dyDescent="0.35">
      <c r="A18" s="4" t="s">
        <v>124</v>
      </c>
      <c r="B18" s="1" t="s">
        <v>26</v>
      </c>
      <c r="C18" t="s">
        <v>93</v>
      </c>
      <c r="D18" s="5" t="str">
        <f>VLOOKUP(C18,Feuil2!A:B,2,FALSE)</f>
        <v>Amount of pod biomass produced per unit area or per experimental unit.</v>
      </c>
      <c r="F18" s="2" t="s">
        <v>94</v>
      </c>
      <c r="G18" s="2" t="s">
        <v>281</v>
      </c>
      <c r="H18" s="6" t="s">
        <v>116</v>
      </c>
      <c r="I18" t="s">
        <v>30</v>
      </c>
      <c r="J18" s="2" t="s">
        <v>58</v>
      </c>
      <c r="K18" s="6" t="s">
        <v>125</v>
      </c>
      <c r="L18" t="s">
        <v>33</v>
      </c>
      <c r="M18" s="2" t="s">
        <v>126</v>
      </c>
      <c r="N18" s="2" t="s">
        <v>127</v>
      </c>
      <c r="O18" t="s">
        <v>36</v>
      </c>
      <c r="P18" t="s">
        <v>99</v>
      </c>
      <c r="Q18" s="3" t="s">
        <v>38</v>
      </c>
      <c r="R18" s="3" t="s">
        <v>38</v>
      </c>
      <c r="S18" s="3" t="s">
        <v>38</v>
      </c>
      <c r="T18" s="3" t="s">
        <v>38</v>
      </c>
      <c r="U18" s="3" t="s">
        <v>38</v>
      </c>
      <c r="V18" s="3" t="s">
        <v>38</v>
      </c>
      <c r="W18" s="3" t="s">
        <v>38</v>
      </c>
      <c r="X18" s="3" t="s">
        <v>128</v>
      </c>
      <c r="Y18" s="3" t="s">
        <v>38</v>
      </c>
      <c r="Z18" s="7" t="s">
        <v>38</v>
      </c>
      <c r="AA18" s="3" t="s">
        <v>38</v>
      </c>
    </row>
    <row r="19" spans="1:27" x14ac:dyDescent="0.35">
      <c r="A19" s="4" t="s">
        <v>147</v>
      </c>
      <c r="B19" s="1" t="s">
        <v>26</v>
      </c>
      <c r="C19" s="5" t="s">
        <v>130</v>
      </c>
      <c r="D19" s="5" t="str">
        <f>VLOOKUP(C19,Feuil2!A:B,2,FALSE)</f>
        <v>Amount of seed biomass produced per unit area or per experimental unit.</v>
      </c>
      <c r="E19" s="5"/>
      <c r="F19" s="2" t="s">
        <v>131</v>
      </c>
      <c r="G19" s="2" t="s">
        <v>283</v>
      </c>
      <c r="H19" s="6" t="s">
        <v>148</v>
      </c>
      <c r="I19" s="5" t="s">
        <v>149</v>
      </c>
      <c r="J19" s="2" t="s">
        <v>150</v>
      </c>
      <c r="K19" s="6" t="s">
        <v>151</v>
      </c>
      <c r="L19" s="5" t="s">
        <v>152</v>
      </c>
      <c r="M19" s="2" t="s">
        <v>153</v>
      </c>
      <c r="N19" s="2" t="s">
        <v>154</v>
      </c>
      <c r="O19" s="5" t="s">
        <v>36</v>
      </c>
      <c r="P19" s="5"/>
      <c r="Q19" s="3" t="s">
        <v>38</v>
      </c>
      <c r="R19" s="3" t="s">
        <v>38</v>
      </c>
      <c r="S19" s="3" t="s">
        <v>155</v>
      </c>
      <c r="T19" s="3" t="s">
        <v>38</v>
      </c>
      <c r="U19" s="3" t="s">
        <v>38</v>
      </c>
      <c r="V19" s="3" t="s">
        <v>38</v>
      </c>
      <c r="W19" s="3" t="s">
        <v>38</v>
      </c>
      <c r="X19" s="3" t="s">
        <v>38</v>
      </c>
      <c r="Y19" s="3" t="s">
        <v>38</v>
      </c>
      <c r="Z19" s="7" t="s">
        <v>38</v>
      </c>
      <c r="AA19" s="3" t="s">
        <v>38</v>
      </c>
    </row>
    <row r="20" spans="1:27" x14ac:dyDescent="0.35">
      <c r="A20" s="4" t="s">
        <v>162</v>
      </c>
      <c r="B20" t="s">
        <v>26</v>
      </c>
      <c r="C20" t="s">
        <v>163</v>
      </c>
      <c r="D20" s="5" t="str">
        <f>VLOOKUP(C20,Feuil2!A:B,2,FALSE)</f>
        <v>Amount of seed biomass produced per unit area or per experimental unit.</v>
      </c>
      <c r="F20" s="2" t="s">
        <v>131</v>
      </c>
      <c r="G20" s="2" t="s">
        <v>281</v>
      </c>
      <c r="H20" s="6" t="s">
        <v>116</v>
      </c>
      <c r="I20" t="s">
        <v>30</v>
      </c>
      <c r="J20" s="2" t="s">
        <v>58</v>
      </c>
      <c r="K20" t="s">
        <v>47</v>
      </c>
      <c r="L20" t="s">
        <v>33</v>
      </c>
      <c r="M20" s="2" t="s">
        <v>48</v>
      </c>
      <c r="N20" s="2" t="s">
        <v>164</v>
      </c>
      <c r="O20" t="s">
        <v>36</v>
      </c>
      <c r="Q20" s="3" t="s">
        <v>38</v>
      </c>
      <c r="R20" s="3" t="s">
        <v>165</v>
      </c>
      <c r="S20" s="3" t="s">
        <v>38</v>
      </c>
      <c r="T20" s="3" t="s">
        <v>38</v>
      </c>
      <c r="U20" s="3" t="s">
        <v>38</v>
      </c>
      <c r="V20" s="3" t="s">
        <v>38</v>
      </c>
      <c r="W20" s="3" t="s">
        <v>38</v>
      </c>
      <c r="X20" s="3" t="s">
        <v>38</v>
      </c>
      <c r="Y20" s="3" t="s">
        <v>38</v>
      </c>
      <c r="Z20" s="7" t="s">
        <v>38</v>
      </c>
      <c r="AA20" s="3" t="s">
        <v>38</v>
      </c>
    </row>
    <row r="21" spans="1:27" x14ac:dyDescent="0.35">
      <c r="A21" s="4" t="s">
        <v>129</v>
      </c>
      <c r="B21" s="1" t="s">
        <v>26</v>
      </c>
      <c r="C21" s="5" t="s">
        <v>130</v>
      </c>
      <c r="D21" s="5" t="str">
        <f>VLOOKUP(C21,Feuil2!A:B,2,FALSE)</f>
        <v>Amount of seed biomass produced per unit area or per experimental unit.</v>
      </c>
      <c r="E21" s="5"/>
      <c r="F21" s="2" t="s">
        <v>131</v>
      </c>
      <c r="G21" s="2" t="s">
        <v>284</v>
      </c>
      <c r="H21" s="6" t="s">
        <v>132</v>
      </c>
      <c r="I21" s="5" t="s">
        <v>30</v>
      </c>
      <c r="J21" s="2" t="s">
        <v>133</v>
      </c>
      <c r="K21" s="6" t="s">
        <v>41</v>
      </c>
      <c r="L21" s="5" t="s">
        <v>33</v>
      </c>
      <c r="M21" s="2" t="s">
        <v>42</v>
      </c>
      <c r="N21" s="2" t="s">
        <v>134</v>
      </c>
      <c r="O21" s="5" t="s">
        <v>36</v>
      </c>
      <c r="P21" s="5"/>
      <c r="Q21" s="3" t="s">
        <v>135</v>
      </c>
      <c r="R21" s="3" t="s">
        <v>38</v>
      </c>
      <c r="S21" s="3" t="s">
        <v>136</v>
      </c>
      <c r="T21" s="3" t="s">
        <v>38</v>
      </c>
      <c r="U21" s="3" t="s">
        <v>137</v>
      </c>
      <c r="V21" s="3" t="s">
        <v>38</v>
      </c>
      <c r="W21" s="3" t="s">
        <v>138</v>
      </c>
      <c r="X21" s="3" t="s">
        <v>139</v>
      </c>
      <c r="Y21" s="3" t="s">
        <v>140</v>
      </c>
      <c r="Z21" s="7" t="s">
        <v>72</v>
      </c>
      <c r="AA21" s="3" t="s">
        <v>38</v>
      </c>
    </row>
    <row r="22" spans="1:27" x14ac:dyDescent="0.35">
      <c r="A22" s="4" t="s">
        <v>141</v>
      </c>
      <c r="B22" s="1" t="s">
        <v>26</v>
      </c>
      <c r="C22" t="s">
        <v>130</v>
      </c>
      <c r="D22" s="5" t="str">
        <f>VLOOKUP(C22,Feuil2!A:B,2,FALSE)</f>
        <v>Amount of seed biomass produced per unit area or per experimental unit.</v>
      </c>
      <c r="F22" s="2" t="s">
        <v>131</v>
      </c>
      <c r="G22" s="2" t="s">
        <v>284</v>
      </c>
      <c r="H22" s="6" t="s">
        <v>132</v>
      </c>
      <c r="I22" t="s">
        <v>30</v>
      </c>
      <c r="J22" s="2" t="s">
        <v>133</v>
      </c>
      <c r="K22" s="6" t="s">
        <v>32</v>
      </c>
      <c r="L22" t="s">
        <v>33</v>
      </c>
      <c r="M22" s="2" t="s">
        <v>34</v>
      </c>
      <c r="N22" s="2" t="s">
        <v>142</v>
      </c>
      <c r="O22" t="s">
        <v>36</v>
      </c>
      <c r="Q22" s="3" t="s">
        <v>38</v>
      </c>
      <c r="R22" s="3" t="s">
        <v>38</v>
      </c>
      <c r="S22" s="3" t="s">
        <v>143</v>
      </c>
      <c r="T22" s="3" t="s">
        <v>144</v>
      </c>
      <c r="U22" s="3" t="s">
        <v>145</v>
      </c>
      <c r="V22" s="3" t="s">
        <v>38</v>
      </c>
      <c r="W22" s="3" t="s">
        <v>146</v>
      </c>
      <c r="X22" s="3" t="s">
        <v>38</v>
      </c>
      <c r="Y22" s="3" t="s">
        <v>38</v>
      </c>
      <c r="Z22" s="7" t="s">
        <v>38</v>
      </c>
      <c r="AA22" s="3" t="s">
        <v>38</v>
      </c>
    </row>
    <row r="23" spans="1:27" x14ac:dyDescent="0.35">
      <c r="A23" s="4" t="s">
        <v>156</v>
      </c>
      <c r="B23" s="11" t="s">
        <v>26</v>
      </c>
      <c r="C23" s="8" t="s">
        <v>130</v>
      </c>
      <c r="D23" s="5" t="str">
        <f>VLOOKUP(C23,Feuil2!A:B,2,FALSE)</f>
        <v>Amount of seed biomass produced per unit area or per experimental unit.</v>
      </c>
      <c r="E23" s="8"/>
      <c r="F23" s="3" t="s">
        <v>131</v>
      </c>
      <c r="G23" s="2" t="s">
        <v>284</v>
      </c>
      <c r="H23" s="12" t="s">
        <v>132</v>
      </c>
      <c r="I23" s="8" t="s">
        <v>30</v>
      </c>
      <c r="J23" s="3" t="s">
        <v>133</v>
      </c>
      <c r="K23" s="12" t="s">
        <v>117</v>
      </c>
      <c r="L23" s="8" t="s">
        <v>33</v>
      </c>
      <c r="M23" s="3" t="s">
        <v>118</v>
      </c>
      <c r="N23" s="2" t="s">
        <v>157</v>
      </c>
      <c r="O23" t="s">
        <v>36</v>
      </c>
      <c r="Q23" s="3" t="s">
        <v>38</v>
      </c>
      <c r="R23" s="3" t="s">
        <v>38</v>
      </c>
      <c r="S23" s="3" t="s">
        <v>38</v>
      </c>
      <c r="T23" s="3" t="s">
        <v>38</v>
      </c>
      <c r="U23" s="3" t="s">
        <v>38</v>
      </c>
      <c r="V23" s="3" t="s">
        <v>38</v>
      </c>
      <c r="W23" s="3" t="s">
        <v>38</v>
      </c>
      <c r="X23" s="3" t="s">
        <v>158</v>
      </c>
      <c r="Y23" s="3" t="s">
        <v>38</v>
      </c>
      <c r="Z23" s="7" t="s">
        <v>38</v>
      </c>
      <c r="AA23" s="3" t="s">
        <v>38</v>
      </c>
    </row>
    <row r="24" spans="1:27" x14ac:dyDescent="0.35">
      <c r="A24" s="4" t="s">
        <v>159</v>
      </c>
      <c r="B24" s="11" t="s">
        <v>26</v>
      </c>
      <c r="C24" s="9" t="s">
        <v>130</v>
      </c>
      <c r="D24" s="5" t="str">
        <f>VLOOKUP(C24,Feuil2!A:B,2,FALSE)</f>
        <v>Amount of seed biomass produced per unit area or per experimental unit.</v>
      </c>
      <c r="E24" s="9"/>
      <c r="F24" s="3" t="s">
        <v>131</v>
      </c>
      <c r="G24" s="2" t="s">
        <v>284</v>
      </c>
      <c r="H24" s="12" t="s">
        <v>132</v>
      </c>
      <c r="I24" s="9" t="s">
        <v>30</v>
      </c>
      <c r="J24" s="3" t="s">
        <v>133</v>
      </c>
      <c r="K24" s="12" t="s">
        <v>125</v>
      </c>
      <c r="L24" s="9" t="s">
        <v>33</v>
      </c>
      <c r="M24" s="3" t="s">
        <v>126</v>
      </c>
      <c r="N24" s="2" t="s">
        <v>160</v>
      </c>
      <c r="O24" s="5" t="s">
        <v>36</v>
      </c>
      <c r="P24" s="5"/>
      <c r="Q24" s="3" t="s">
        <v>38</v>
      </c>
      <c r="R24" s="3" t="s">
        <v>38</v>
      </c>
      <c r="S24" s="3" t="s">
        <v>38</v>
      </c>
      <c r="T24" s="3" t="s">
        <v>38</v>
      </c>
      <c r="U24" s="3" t="s">
        <v>38</v>
      </c>
      <c r="V24" s="3" t="s">
        <v>38</v>
      </c>
      <c r="W24" s="3" t="s">
        <v>38</v>
      </c>
      <c r="X24" s="3" t="s">
        <v>161</v>
      </c>
      <c r="Y24" s="3" t="s">
        <v>38</v>
      </c>
      <c r="Z24" s="7" t="s">
        <v>38</v>
      </c>
      <c r="AA24" s="3" t="s">
        <v>38</v>
      </c>
    </row>
    <row r="25" spans="1:27" x14ac:dyDescent="0.35">
      <c r="A25" s="4" t="s">
        <v>166</v>
      </c>
      <c r="B25" s="9" t="s">
        <v>26</v>
      </c>
      <c r="C25" s="9" t="s">
        <v>163</v>
      </c>
      <c r="D25" s="5" t="str">
        <f>VLOOKUP(C25,Feuil2!A:B,2,FALSE)</f>
        <v>Amount of seed biomass produced per unit area or per experimental unit.</v>
      </c>
      <c r="E25" s="9"/>
      <c r="F25" s="3" t="s">
        <v>131</v>
      </c>
      <c r="G25" s="2" t="s">
        <v>284</v>
      </c>
      <c r="H25" s="12" t="s">
        <v>132</v>
      </c>
      <c r="I25" s="9" t="s">
        <v>30</v>
      </c>
      <c r="J25" s="3" t="s">
        <v>133</v>
      </c>
      <c r="K25" s="9" t="s">
        <v>84</v>
      </c>
      <c r="L25" s="9" t="s">
        <v>33</v>
      </c>
      <c r="M25" s="3" t="s">
        <v>85</v>
      </c>
      <c r="N25" s="2" t="s">
        <v>167</v>
      </c>
      <c r="O25" s="5" t="s">
        <v>36</v>
      </c>
      <c r="P25" s="5"/>
      <c r="Q25" s="3" t="s">
        <v>38</v>
      </c>
      <c r="R25" s="3" t="s">
        <v>38</v>
      </c>
      <c r="S25" s="3" t="s">
        <v>38</v>
      </c>
      <c r="T25" s="3" t="s">
        <v>38</v>
      </c>
      <c r="U25" s="3" t="s">
        <v>168</v>
      </c>
      <c r="V25" s="3" t="s">
        <v>38</v>
      </c>
      <c r="W25" s="3" t="s">
        <v>38</v>
      </c>
      <c r="X25" s="3" t="s">
        <v>38</v>
      </c>
      <c r="Y25" s="3" t="s">
        <v>38</v>
      </c>
      <c r="Z25" s="3" t="s">
        <v>38</v>
      </c>
      <c r="AA25" s="3" t="s">
        <v>38</v>
      </c>
    </row>
    <row r="26" spans="1:27" x14ac:dyDescent="0.35">
      <c r="A26" s="4" t="s">
        <v>169</v>
      </c>
      <c r="B26" t="s">
        <v>26</v>
      </c>
      <c r="C26" s="8" t="s">
        <v>163</v>
      </c>
      <c r="D26" s="5" t="str">
        <f>VLOOKUP(C26,Feuil2!A:B,2,FALSE)</f>
        <v>Amount of seed biomass produced per unit area or per experimental unit.</v>
      </c>
      <c r="E26" s="8"/>
      <c r="F26" s="3" t="s">
        <v>131</v>
      </c>
      <c r="G26" s="2" t="s">
        <v>284</v>
      </c>
      <c r="H26" s="12" t="s">
        <v>132</v>
      </c>
      <c r="I26" s="8" t="s">
        <v>30</v>
      </c>
      <c r="J26" s="3" t="s">
        <v>133</v>
      </c>
      <c r="K26" s="3" t="s">
        <v>107</v>
      </c>
      <c r="L26" s="12" t="s">
        <v>33</v>
      </c>
      <c r="M26" s="3" t="s">
        <v>108</v>
      </c>
      <c r="N26" s="2" t="s">
        <v>170</v>
      </c>
      <c r="O26" t="s">
        <v>36</v>
      </c>
      <c r="Q26" s="3" t="s">
        <v>38</v>
      </c>
      <c r="R26" s="3" t="s">
        <v>38</v>
      </c>
      <c r="S26" s="3" t="s">
        <v>38</v>
      </c>
      <c r="T26" s="3" t="s">
        <v>38</v>
      </c>
      <c r="U26" s="3" t="s">
        <v>38</v>
      </c>
      <c r="V26" s="3" t="s">
        <v>38</v>
      </c>
      <c r="W26" s="3" t="s">
        <v>38</v>
      </c>
      <c r="X26" s="3" t="s">
        <v>171</v>
      </c>
      <c r="Y26" s="3" t="s">
        <v>38</v>
      </c>
      <c r="Z26" s="7" t="s">
        <v>38</v>
      </c>
      <c r="AA26" s="3" t="s">
        <v>38</v>
      </c>
    </row>
    <row r="27" spans="1:27" x14ac:dyDescent="0.35">
      <c r="A27" s="4" t="s">
        <v>172</v>
      </c>
      <c r="B27" s="5" t="s">
        <v>26</v>
      </c>
      <c r="C27" s="5" t="s">
        <v>163</v>
      </c>
      <c r="D27" s="5" t="str">
        <f>VLOOKUP(C27,Feuil2!A:B,2,FALSE)</f>
        <v>Amount of seed biomass produced per unit area or per experimental unit.</v>
      </c>
      <c r="E27" s="5"/>
      <c r="F27" s="2" t="s">
        <v>131</v>
      </c>
      <c r="G27" s="2" t="s">
        <v>284</v>
      </c>
      <c r="H27" s="12" t="s">
        <v>132</v>
      </c>
      <c r="I27" s="9" t="s">
        <v>30</v>
      </c>
      <c r="J27" s="3" t="s">
        <v>133</v>
      </c>
      <c r="K27" s="9" t="s">
        <v>47</v>
      </c>
      <c r="L27" s="9" t="s">
        <v>33</v>
      </c>
      <c r="M27" s="3" t="s">
        <v>48</v>
      </c>
      <c r="N27" s="2" t="s">
        <v>173</v>
      </c>
      <c r="O27" s="5" t="s">
        <v>36</v>
      </c>
      <c r="P27" s="5"/>
      <c r="Q27" s="3" t="s">
        <v>174</v>
      </c>
      <c r="R27" s="3" t="s">
        <v>175</v>
      </c>
      <c r="S27" s="3" t="s">
        <v>176</v>
      </c>
      <c r="T27" s="3" t="s">
        <v>177</v>
      </c>
      <c r="U27" s="3" t="s">
        <v>178</v>
      </c>
      <c r="V27" s="3" t="s">
        <v>179</v>
      </c>
      <c r="W27" s="3" t="s">
        <v>180</v>
      </c>
      <c r="X27" s="3" t="s">
        <v>181</v>
      </c>
      <c r="Y27" s="3" t="s">
        <v>182</v>
      </c>
      <c r="Z27" s="7" t="s">
        <v>72</v>
      </c>
      <c r="AA27" s="3" t="s">
        <v>183</v>
      </c>
    </row>
    <row r="28" spans="1:27" x14ac:dyDescent="0.35">
      <c r="A28" s="4" t="s">
        <v>184</v>
      </c>
      <c r="B28" s="1" t="s">
        <v>26</v>
      </c>
      <c r="C28" t="s">
        <v>185</v>
      </c>
      <c r="D28" s="5" t="str">
        <f>VLOOKUP(C28,Feuil2!A:B,2,FALSE)</f>
        <v>Rate of seed biomass production over time, typically expressed relative to the duration of the growth or maturity period.</v>
      </c>
      <c r="F28" s="2" t="s">
        <v>186</v>
      </c>
      <c r="G28" s="2" t="s">
        <v>286</v>
      </c>
      <c r="H28" s="12" t="s">
        <v>187</v>
      </c>
      <c r="I28" s="8" t="s">
        <v>46</v>
      </c>
      <c r="J28" s="3" t="s">
        <v>188</v>
      </c>
      <c r="K28" s="12" t="s">
        <v>189</v>
      </c>
      <c r="L28" s="8" t="s">
        <v>33</v>
      </c>
      <c r="M28" s="3" t="s">
        <v>190</v>
      </c>
      <c r="N28" s="2" t="s">
        <v>191</v>
      </c>
      <c r="O28" t="s">
        <v>36</v>
      </c>
      <c r="Q28" s="3" t="s">
        <v>38</v>
      </c>
      <c r="R28" s="3" t="s">
        <v>38</v>
      </c>
      <c r="S28" s="3" t="s">
        <v>192</v>
      </c>
      <c r="T28" s="3" t="s">
        <v>38</v>
      </c>
      <c r="U28" s="3" t="s">
        <v>38</v>
      </c>
      <c r="V28" s="3" t="s">
        <v>38</v>
      </c>
      <c r="W28" s="3" t="s">
        <v>38</v>
      </c>
      <c r="X28" s="3" t="s">
        <v>38</v>
      </c>
      <c r="Y28" s="3" t="s">
        <v>38</v>
      </c>
      <c r="Z28" s="7" t="s">
        <v>38</v>
      </c>
      <c r="AA28" s="3" t="s">
        <v>38</v>
      </c>
    </row>
    <row r="29" spans="1:27" x14ac:dyDescent="0.35">
      <c r="A29" s="4" t="s">
        <v>193</v>
      </c>
      <c r="B29" t="s">
        <v>194</v>
      </c>
      <c r="C29" t="s">
        <v>195</v>
      </c>
      <c r="D29" s="5" t="str">
        <f>VLOOKUP(C29,Feuil2!A:B,2,FALSE)</f>
        <v>Extent of plant injury caused by drought stress, assessed based on visible symptoms or reduction in plant performance.</v>
      </c>
      <c r="F29" s="2" t="s">
        <v>196</v>
      </c>
      <c r="G29" s="2" t="s">
        <v>285</v>
      </c>
      <c r="H29" t="s">
        <v>197</v>
      </c>
      <c r="I29" t="s">
        <v>198</v>
      </c>
      <c r="J29" s="2" t="s">
        <v>199</v>
      </c>
      <c r="K29" t="s">
        <v>200</v>
      </c>
      <c r="L29" t="s">
        <v>33</v>
      </c>
      <c r="M29" s="2" t="s">
        <v>201</v>
      </c>
      <c r="N29" s="2" t="s">
        <v>202</v>
      </c>
      <c r="O29" t="s">
        <v>203</v>
      </c>
      <c r="Q29" s="3" t="s">
        <v>38</v>
      </c>
      <c r="R29" s="3" t="s">
        <v>38</v>
      </c>
      <c r="S29" s="3" t="s">
        <v>38</v>
      </c>
      <c r="T29" s="3" t="s">
        <v>204</v>
      </c>
      <c r="U29" s="3" t="s">
        <v>38</v>
      </c>
      <c r="V29" s="3" t="s">
        <v>38</v>
      </c>
      <c r="W29" s="3" t="s">
        <v>38</v>
      </c>
      <c r="X29" s="3" t="s">
        <v>38</v>
      </c>
      <c r="Y29" s="3" t="s">
        <v>38</v>
      </c>
      <c r="Z29" s="7" t="s">
        <v>38</v>
      </c>
      <c r="AA29" s="3"/>
    </row>
    <row r="30" spans="1:27" x14ac:dyDescent="0.35">
      <c r="A30" s="4" t="s">
        <v>205</v>
      </c>
      <c r="B30" t="s">
        <v>194</v>
      </c>
      <c r="C30" t="s">
        <v>206</v>
      </c>
      <c r="D30" s="5" t="str">
        <f>VLOOKUP(C30,Feuil2!A:B,2,FALSE)</f>
        <v>Ability of a plant to maintain growth, yield, or survival under drought stress conditions.</v>
      </c>
      <c r="F30" s="2" t="s">
        <v>207</v>
      </c>
      <c r="G30" s="2" t="s">
        <v>287</v>
      </c>
      <c r="H30" t="s">
        <v>208</v>
      </c>
      <c r="I30" t="s">
        <v>46</v>
      </c>
      <c r="J30" s="2" t="s">
        <v>209</v>
      </c>
      <c r="K30" t="s">
        <v>210</v>
      </c>
      <c r="L30" t="s">
        <v>33</v>
      </c>
      <c r="M30" s="2" t="s">
        <v>211</v>
      </c>
      <c r="N30" s="2" t="s">
        <v>212</v>
      </c>
      <c r="O30" t="s">
        <v>203</v>
      </c>
      <c r="Q30" s="3" t="s">
        <v>213</v>
      </c>
      <c r="R30" s="3" t="s">
        <v>38</v>
      </c>
      <c r="S30" s="3" t="s">
        <v>38</v>
      </c>
      <c r="T30" s="3" t="s">
        <v>38</v>
      </c>
      <c r="U30" s="3" t="s">
        <v>38</v>
      </c>
      <c r="V30" s="3" t="s">
        <v>38</v>
      </c>
      <c r="W30" s="3" t="s">
        <v>214</v>
      </c>
      <c r="X30" s="3" t="s">
        <v>38</v>
      </c>
      <c r="Y30" s="3" t="s">
        <v>38</v>
      </c>
      <c r="Z30" s="7" t="s">
        <v>38</v>
      </c>
      <c r="AA30" s="3"/>
    </row>
    <row r="31" spans="1:27" x14ac:dyDescent="0.35">
      <c r="A31" s="4" t="s">
        <v>215</v>
      </c>
      <c r="B31" t="s">
        <v>194</v>
      </c>
      <c r="C31" t="s">
        <v>206</v>
      </c>
      <c r="D31" s="5" t="str">
        <f>VLOOKUP(C31,Feuil2!A:B,2,FALSE)</f>
        <v>Ability of a plant to maintain growth, yield, or survival under drought stress conditions.</v>
      </c>
      <c r="F31" s="2" t="s">
        <v>207</v>
      </c>
      <c r="G31" s="2" t="s">
        <v>288</v>
      </c>
      <c r="H31" t="s">
        <v>216</v>
      </c>
      <c r="I31" t="s">
        <v>46</v>
      </c>
      <c r="J31" s="2" t="s">
        <v>217</v>
      </c>
      <c r="K31" t="s">
        <v>210</v>
      </c>
      <c r="L31" t="s">
        <v>33</v>
      </c>
      <c r="M31" s="2" t="s">
        <v>211</v>
      </c>
      <c r="N31" s="2" t="s">
        <v>218</v>
      </c>
      <c r="O31" t="s">
        <v>203</v>
      </c>
      <c r="Q31" s="3" t="s">
        <v>38</v>
      </c>
      <c r="R31" s="3" t="s">
        <v>38</v>
      </c>
      <c r="S31" s="3" t="s">
        <v>219</v>
      </c>
      <c r="T31" s="3" t="s">
        <v>38</v>
      </c>
      <c r="U31" s="3" t="s">
        <v>38</v>
      </c>
      <c r="V31" s="3" t="s">
        <v>38</v>
      </c>
      <c r="W31" s="3" t="s">
        <v>38</v>
      </c>
      <c r="X31" s="3" t="s">
        <v>38</v>
      </c>
      <c r="Y31" s="3" t="s">
        <v>38</v>
      </c>
      <c r="Z31" s="7" t="s">
        <v>38</v>
      </c>
      <c r="AA31" s="3"/>
    </row>
    <row r="32" spans="1:27" x14ac:dyDescent="0.35">
      <c r="A32" s="4" t="s">
        <v>220</v>
      </c>
      <c r="B32" t="s">
        <v>194</v>
      </c>
      <c r="C32" t="s">
        <v>221</v>
      </c>
      <c r="D32" s="5" t="str">
        <f>VLOOKUP(C32,Feuil2!A:B,2,FALSE)</f>
        <v>Change in plant maturity timing or duration in response to drought stress conditions.</v>
      </c>
      <c r="F32" s="2" t="s">
        <v>222</v>
      </c>
      <c r="G32" s="2" t="s">
        <v>289</v>
      </c>
      <c r="H32" t="s">
        <v>223</v>
      </c>
      <c r="I32" t="s">
        <v>46</v>
      </c>
      <c r="J32" s="2" t="s">
        <v>224</v>
      </c>
      <c r="K32" s="6" t="s">
        <v>225</v>
      </c>
      <c r="L32" t="s">
        <v>226</v>
      </c>
      <c r="M32" s="2" t="s">
        <v>227</v>
      </c>
      <c r="N32" s="2" t="s">
        <v>228</v>
      </c>
      <c r="O32" t="s">
        <v>203</v>
      </c>
      <c r="Q32" s="3" t="s">
        <v>38</v>
      </c>
      <c r="R32" s="3" t="s">
        <v>38</v>
      </c>
      <c r="S32" s="3" t="s">
        <v>229</v>
      </c>
      <c r="T32" s="3" t="s">
        <v>38</v>
      </c>
      <c r="U32" s="3" t="s">
        <v>38</v>
      </c>
      <c r="V32" s="3" t="s">
        <v>38</v>
      </c>
      <c r="W32" s="3" t="s">
        <v>38</v>
      </c>
      <c r="X32" s="3" t="s">
        <v>38</v>
      </c>
      <c r="Y32" s="3" t="s">
        <v>38</v>
      </c>
      <c r="Z32" s="7" t="s">
        <v>38</v>
      </c>
      <c r="AA32" s="3"/>
    </row>
    <row r="33" spans="1:27" x14ac:dyDescent="0.35">
      <c r="A33" s="4" t="s">
        <v>230</v>
      </c>
      <c r="B33" t="s">
        <v>194</v>
      </c>
      <c r="C33" t="s">
        <v>231</v>
      </c>
      <c r="D33" s="5" t="str">
        <f>VLOOKUP(C33,Feuil2!A:B,2,FALSE)</f>
        <v>Change in seed weight under drought stress compared to non-stress conditions.</v>
      </c>
      <c r="F33" s="2" t="s">
        <v>232</v>
      </c>
      <c r="G33" s="2" t="s">
        <v>289</v>
      </c>
      <c r="H33" t="s">
        <v>233</v>
      </c>
      <c r="I33" t="s">
        <v>46</v>
      </c>
      <c r="J33" s="2" t="s">
        <v>224</v>
      </c>
      <c r="K33" t="s">
        <v>234</v>
      </c>
      <c r="L33" t="s">
        <v>33</v>
      </c>
      <c r="M33" s="2" t="s">
        <v>235</v>
      </c>
      <c r="N33" s="2" t="s">
        <v>236</v>
      </c>
      <c r="O33" t="s">
        <v>203</v>
      </c>
      <c r="Q33" s="3" t="s">
        <v>38</v>
      </c>
      <c r="R33" s="3" t="s">
        <v>38</v>
      </c>
      <c r="S33" s="3" t="s">
        <v>237</v>
      </c>
      <c r="T33" s="3" t="s">
        <v>38</v>
      </c>
      <c r="U33" s="3" t="s">
        <v>38</v>
      </c>
      <c r="V33" s="3" t="s">
        <v>38</v>
      </c>
      <c r="W33" s="3" t="s">
        <v>38</v>
      </c>
      <c r="X33" s="3" t="s">
        <v>38</v>
      </c>
      <c r="Y33" s="3" t="s">
        <v>38</v>
      </c>
      <c r="Z33" s="7" t="s">
        <v>38</v>
      </c>
      <c r="AA33" s="3"/>
    </row>
    <row r="34" spans="1:27" x14ac:dyDescent="0.35">
      <c r="A34" s="4" t="s">
        <v>238</v>
      </c>
      <c r="B34" t="s">
        <v>194</v>
      </c>
      <c r="C34" t="s">
        <v>239</v>
      </c>
      <c r="D34" s="5" t="str">
        <f>VLOOKUP(C34,Feuil2!A:B,2,FALSE)</f>
        <v>Change in seed yield under drought stress compared to non-stress conditions.</v>
      </c>
      <c r="F34" s="2" t="s">
        <v>240</v>
      </c>
      <c r="G34" s="2" t="s">
        <v>289</v>
      </c>
      <c r="H34" t="s">
        <v>241</v>
      </c>
      <c r="I34" t="s">
        <v>46</v>
      </c>
      <c r="J34" s="2" t="s">
        <v>224</v>
      </c>
      <c r="K34" t="s">
        <v>47</v>
      </c>
      <c r="L34" t="s">
        <v>33</v>
      </c>
      <c r="M34" s="2" t="s">
        <v>48</v>
      </c>
      <c r="N34" s="2" t="s">
        <v>242</v>
      </c>
      <c r="O34" t="s">
        <v>203</v>
      </c>
      <c r="Q34" s="3" t="s">
        <v>38</v>
      </c>
      <c r="R34" s="3" t="s">
        <v>38</v>
      </c>
      <c r="S34" s="3" t="s">
        <v>243</v>
      </c>
      <c r="T34" s="3" t="s">
        <v>38</v>
      </c>
      <c r="U34" s="3" t="s">
        <v>38</v>
      </c>
      <c r="V34" s="3" t="s">
        <v>38</v>
      </c>
      <c r="W34" s="3" t="s">
        <v>38</v>
      </c>
      <c r="X34" s="3" t="s">
        <v>38</v>
      </c>
      <c r="Y34" s="3" t="s">
        <v>38</v>
      </c>
      <c r="Z34" s="7" t="s">
        <v>38</v>
      </c>
      <c r="AA34" s="3"/>
    </row>
    <row r="35" spans="1:27" x14ac:dyDescent="0.35">
      <c r="A35" s="4" t="s">
        <v>244</v>
      </c>
      <c r="B35" t="s">
        <v>194</v>
      </c>
      <c r="C35" t="s">
        <v>245</v>
      </c>
      <c r="D35" s="5" t="str">
        <f>VLOOKUP(C35,Feuil2!A:B,2,FALSE)</f>
        <v>Amount of water in the soil that is available for plant uptake, typically defined as the difference between field capacity and permanent wilting point.</v>
      </c>
      <c r="F35" s="2" t="s">
        <v>246</v>
      </c>
      <c r="G35" s="2" t="s">
        <v>290</v>
      </c>
      <c r="H35" t="s">
        <v>247</v>
      </c>
      <c r="I35" t="s">
        <v>46</v>
      </c>
      <c r="J35" s="2" t="s">
        <v>248</v>
      </c>
      <c r="K35" t="s">
        <v>249</v>
      </c>
      <c r="L35" t="s">
        <v>33</v>
      </c>
      <c r="M35" s="2" t="s">
        <v>249</v>
      </c>
      <c r="N35" s="2" t="s">
        <v>250</v>
      </c>
      <c r="O35" t="s">
        <v>203</v>
      </c>
      <c r="Q35" s="3" t="s">
        <v>38</v>
      </c>
      <c r="R35" s="3" t="s">
        <v>251</v>
      </c>
      <c r="S35" s="3" t="s">
        <v>38</v>
      </c>
      <c r="T35" s="3" t="s">
        <v>38</v>
      </c>
      <c r="U35" s="3" t="s">
        <v>38</v>
      </c>
      <c r="V35" s="3" t="s">
        <v>38</v>
      </c>
      <c r="W35" s="3" t="s">
        <v>38</v>
      </c>
      <c r="X35" s="3" t="s">
        <v>38</v>
      </c>
      <c r="Y35" s="3" t="s">
        <v>38</v>
      </c>
      <c r="Z35" s="7" t="s">
        <v>38</v>
      </c>
      <c r="AA35" s="3"/>
    </row>
    <row r="36" spans="1:27" x14ac:dyDescent="0.35">
      <c r="A36" s="4" t="s">
        <v>252</v>
      </c>
      <c r="B36" t="s">
        <v>194</v>
      </c>
      <c r="C36" t="s">
        <v>245</v>
      </c>
      <c r="D36" s="5" t="str">
        <f>VLOOKUP(C36,Feuil2!A:B,2,FALSE)</f>
        <v>Amount of water in the soil that is available for plant uptake, typically defined as the difference between field capacity and permanent wilting point.</v>
      </c>
      <c r="F36" s="2" t="s">
        <v>246</v>
      </c>
      <c r="G36" s="2" t="s">
        <v>291</v>
      </c>
      <c r="H36" t="s">
        <v>253</v>
      </c>
      <c r="I36" t="s">
        <v>198</v>
      </c>
      <c r="J36" s="2" t="s">
        <v>199</v>
      </c>
      <c r="K36" t="s">
        <v>249</v>
      </c>
      <c r="L36" t="s">
        <v>33</v>
      </c>
      <c r="M36" s="2" t="s">
        <v>249</v>
      </c>
      <c r="N36" s="2" t="s">
        <v>254</v>
      </c>
      <c r="O36" t="s">
        <v>203</v>
      </c>
      <c r="Q36" s="3" t="s">
        <v>38</v>
      </c>
      <c r="R36" s="3" t="s">
        <v>255</v>
      </c>
      <c r="S36" s="3" t="s">
        <v>38</v>
      </c>
      <c r="T36" s="3" t="s">
        <v>38</v>
      </c>
      <c r="U36" s="3" t="s">
        <v>38</v>
      </c>
      <c r="V36" s="3" t="s">
        <v>38</v>
      </c>
      <c r="W36" s="3" t="s">
        <v>38</v>
      </c>
      <c r="X36" s="3" t="s">
        <v>38</v>
      </c>
      <c r="Y36" s="3" t="s">
        <v>38</v>
      </c>
      <c r="Z36" s="7" t="s">
        <v>38</v>
      </c>
      <c r="AA36" s="3"/>
    </row>
    <row r="37" spans="1:27" x14ac:dyDescent="0.35">
      <c r="A37" s="4" t="s">
        <v>256</v>
      </c>
      <c r="B37" s="1" t="s">
        <v>194</v>
      </c>
      <c r="C37" t="s">
        <v>257</v>
      </c>
      <c r="D37" s="5" t="str">
        <f>VLOOKUP(C37,Feuil2!A:B,2,FALSE)</f>
        <v>Loss of plant turgor resulting in drooping or collapse of leaves and stems, typically caused by water deficit.</v>
      </c>
      <c r="E37" t="s">
        <v>258</v>
      </c>
      <c r="F37" s="2" t="s">
        <v>259</v>
      </c>
      <c r="G37" s="2" t="s">
        <v>285</v>
      </c>
      <c r="H37" s="6" t="s">
        <v>260</v>
      </c>
      <c r="I37" t="s">
        <v>198</v>
      </c>
      <c r="J37" s="2" t="s">
        <v>199</v>
      </c>
      <c r="K37" s="6" t="s">
        <v>261</v>
      </c>
      <c r="L37" t="s">
        <v>152</v>
      </c>
      <c r="M37" s="2" t="s">
        <v>262</v>
      </c>
      <c r="N37" s="2" t="s">
        <v>263</v>
      </c>
      <c r="O37" t="s">
        <v>203</v>
      </c>
      <c r="P37" t="s">
        <v>206</v>
      </c>
      <c r="Q37" s="3" t="s">
        <v>38</v>
      </c>
      <c r="R37" s="3" t="s">
        <v>38</v>
      </c>
      <c r="S37" s="8" t="s">
        <v>264</v>
      </c>
      <c r="T37" s="3" t="s">
        <v>38</v>
      </c>
      <c r="U37" s="3" t="s">
        <v>38</v>
      </c>
      <c r="V37" s="3" t="s">
        <v>38</v>
      </c>
      <c r="W37" s="3" t="s">
        <v>38</v>
      </c>
      <c r="X37" s="3" t="s">
        <v>38</v>
      </c>
      <c r="Y37" s="3" t="s">
        <v>38</v>
      </c>
      <c r="Z37" s="7" t="s">
        <v>38</v>
      </c>
      <c r="AA37" s="3"/>
    </row>
    <row r="38" spans="1:27" x14ac:dyDescent="0.35">
      <c r="A38" s="4" t="s">
        <v>265</v>
      </c>
      <c r="B38" s="1" t="s">
        <v>194</v>
      </c>
      <c r="C38" t="s">
        <v>266</v>
      </c>
      <c r="D38" s="5" t="str">
        <f>VLOOKUP(C38,Feuil2!A:B,2,FALSE)</f>
        <v>Extent to which seeds accumulate biomass during development under drought stress conditions.</v>
      </c>
      <c r="E38" t="s">
        <v>267</v>
      </c>
      <c r="F38" s="2" t="s">
        <v>268</v>
      </c>
      <c r="G38" s="2" t="s">
        <v>293</v>
      </c>
      <c r="H38" s="6" t="s">
        <v>269</v>
      </c>
      <c r="I38" t="s">
        <v>46</v>
      </c>
      <c r="J38" s="2" t="s">
        <v>270</v>
      </c>
      <c r="K38" s="6" t="s">
        <v>200</v>
      </c>
      <c r="L38" t="s">
        <v>33</v>
      </c>
      <c r="M38" s="2" t="s">
        <v>201</v>
      </c>
      <c r="N38" s="2" t="s">
        <v>271</v>
      </c>
      <c r="O38" t="s">
        <v>203</v>
      </c>
      <c r="P38" t="s">
        <v>206</v>
      </c>
      <c r="Q38" s="3" t="s">
        <v>38</v>
      </c>
      <c r="R38" s="3" t="s">
        <v>38</v>
      </c>
      <c r="S38" s="8" t="s">
        <v>272</v>
      </c>
      <c r="T38" s="3" t="s">
        <v>38</v>
      </c>
      <c r="U38" s="3" t="s">
        <v>38</v>
      </c>
      <c r="V38" s="3" t="s">
        <v>38</v>
      </c>
      <c r="W38" s="3" t="s">
        <v>38</v>
      </c>
      <c r="X38" s="3" t="s">
        <v>38</v>
      </c>
      <c r="Y38" s="3" t="s">
        <v>38</v>
      </c>
      <c r="Z38" s="7" t="s">
        <v>38</v>
      </c>
      <c r="AA38" s="3"/>
    </row>
    <row r="39" spans="1:27" x14ac:dyDescent="0.35">
      <c r="A39" s="4" t="s">
        <v>273</v>
      </c>
      <c r="B39" t="s">
        <v>194</v>
      </c>
      <c r="C39" t="s">
        <v>206</v>
      </c>
      <c r="D39" s="5" t="str">
        <f>VLOOKUP(C39,Feuil2!A:B,2,FALSE)</f>
        <v>Ability of a plant to maintain growth, yield, or survival under drought stress conditions.</v>
      </c>
      <c r="F39" s="2" t="s">
        <v>207</v>
      </c>
      <c r="G39" s="2" t="s">
        <v>285</v>
      </c>
      <c r="H39" t="s">
        <v>274</v>
      </c>
      <c r="I39" t="s">
        <v>198</v>
      </c>
      <c r="J39" s="2" t="s">
        <v>199</v>
      </c>
      <c r="K39" t="s">
        <v>275</v>
      </c>
      <c r="L39" t="s">
        <v>152</v>
      </c>
      <c r="M39" s="2" t="s">
        <v>262</v>
      </c>
      <c r="N39" s="2" t="s">
        <v>276</v>
      </c>
      <c r="O39" t="s">
        <v>203</v>
      </c>
      <c r="Q39" s="3" t="s">
        <v>38</v>
      </c>
      <c r="R39" s="3" t="s">
        <v>38</v>
      </c>
      <c r="S39" s="3" t="s">
        <v>38</v>
      </c>
      <c r="T39" s="3" t="s">
        <v>38</v>
      </c>
      <c r="U39" s="3" t="s">
        <v>277</v>
      </c>
      <c r="V39" s="3" t="s">
        <v>278</v>
      </c>
      <c r="W39" s="3" t="s">
        <v>38</v>
      </c>
      <c r="X39" s="3" t="s">
        <v>38</v>
      </c>
      <c r="Y39" s="3" t="s">
        <v>38</v>
      </c>
      <c r="Z39" s="7" t="s">
        <v>38</v>
      </c>
      <c r="AA39" s="3" t="s">
        <v>279</v>
      </c>
    </row>
    <row r="42" spans="1:27" x14ac:dyDescent="0.35">
      <c r="H42" s="6"/>
    </row>
    <row r="43" spans="1:27" x14ac:dyDescent="0.35">
      <c r="H43" s="6"/>
    </row>
    <row r="44" spans="1:27" x14ac:dyDescent="0.35">
      <c r="H44"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126E1-9406-4926-A419-AD9D52B2F717}">
  <dimension ref="A1:C39"/>
  <sheetViews>
    <sheetView workbookViewId="0">
      <selection activeCell="B18" sqref="B18"/>
    </sheetView>
  </sheetViews>
  <sheetFormatPr baseColWidth="10" defaultRowHeight="14.5" x14ac:dyDescent="0.35"/>
  <sheetData>
    <row r="1" spans="1:3" x14ac:dyDescent="0.35">
      <c r="A1" t="s">
        <v>2</v>
      </c>
    </row>
    <row r="2" spans="1:3" x14ac:dyDescent="0.35">
      <c r="A2" s="5" t="s">
        <v>27</v>
      </c>
      <c r="B2" s="16" t="s">
        <v>295</v>
      </c>
      <c r="C2" s="5"/>
    </row>
    <row r="3" spans="1:3" x14ac:dyDescent="0.35">
      <c r="A3" s="5" t="s">
        <v>61</v>
      </c>
      <c r="B3" s="16" t="s">
        <v>296</v>
      </c>
    </row>
    <row r="4" spans="1:3" x14ac:dyDescent="0.35">
      <c r="A4" t="s">
        <v>297</v>
      </c>
      <c r="B4" s="16" t="s">
        <v>301</v>
      </c>
      <c r="C4" s="5"/>
    </row>
    <row r="5" spans="1:3" x14ac:dyDescent="0.35">
      <c r="A5" s="5"/>
      <c r="B5" s="1"/>
    </row>
    <row r="6" spans="1:3" x14ac:dyDescent="0.35">
      <c r="A6" t="s">
        <v>93</v>
      </c>
      <c r="B6" s="17" t="s">
        <v>302</v>
      </c>
      <c r="C6" s="5"/>
    </row>
    <row r="7" spans="1:3" x14ac:dyDescent="0.35">
      <c r="A7" s="5" t="s">
        <v>130</v>
      </c>
      <c r="B7" s="16" t="s">
        <v>303</v>
      </c>
      <c r="C7" s="1"/>
    </row>
    <row r="8" spans="1:3" x14ac:dyDescent="0.35">
      <c r="A8" t="s">
        <v>185</v>
      </c>
      <c r="B8" s="16" t="s">
        <v>304</v>
      </c>
      <c r="C8" s="1"/>
    </row>
    <row r="9" spans="1:3" x14ac:dyDescent="0.35">
      <c r="A9" t="s">
        <v>195</v>
      </c>
      <c r="B9" s="16" t="s">
        <v>305</v>
      </c>
      <c r="C9" s="1"/>
    </row>
    <row r="10" spans="1:3" x14ac:dyDescent="0.35">
      <c r="A10" t="s">
        <v>206</v>
      </c>
      <c r="B10" s="16" t="s">
        <v>306</v>
      </c>
      <c r="C10" s="1"/>
    </row>
    <row r="11" spans="1:3" x14ac:dyDescent="0.35">
      <c r="A11" t="s">
        <v>221</v>
      </c>
      <c r="B11" s="16" t="s">
        <v>307</v>
      </c>
    </row>
    <row r="12" spans="1:3" x14ac:dyDescent="0.35">
      <c r="A12" t="s">
        <v>231</v>
      </c>
      <c r="B12" s="16" t="s">
        <v>308</v>
      </c>
      <c r="C12" s="1"/>
    </row>
    <row r="13" spans="1:3" x14ac:dyDescent="0.35">
      <c r="A13" t="s">
        <v>239</v>
      </c>
      <c r="B13" s="17" t="s">
        <v>309</v>
      </c>
    </row>
    <row r="14" spans="1:3" x14ac:dyDescent="0.35">
      <c r="A14" t="s">
        <v>245</v>
      </c>
      <c r="B14" s="16" t="s">
        <v>310</v>
      </c>
      <c r="C14" s="5"/>
    </row>
    <row r="15" spans="1:3" x14ac:dyDescent="0.35">
      <c r="A15" t="s">
        <v>257</v>
      </c>
      <c r="B15" s="16" t="s">
        <v>311</v>
      </c>
    </row>
    <row r="16" spans="1:3" x14ac:dyDescent="0.35">
      <c r="A16" t="s">
        <v>266</v>
      </c>
      <c r="B16" s="17" t="s">
        <v>312</v>
      </c>
      <c r="C16" s="5"/>
    </row>
    <row r="17" spans="2:3" x14ac:dyDescent="0.35">
      <c r="B17" s="1"/>
    </row>
    <row r="18" spans="2:3" x14ac:dyDescent="0.35">
      <c r="B18" s="1"/>
      <c r="C18" s="5"/>
    </row>
    <row r="19" spans="2:3" x14ac:dyDescent="0.35">
      <c r="B19" s="1"/>
    </row>
    <row r="20" spans="2:3" x14ac:dyDescent="0.35">
      <c r="B20" s="1"/>
      <c r="C20" s="5"/>
    </row>
    <row r="22" spans="2:3" x14ac:dyDescent="0.35">
      <c r="B22" s="1"/>
      <c r="C22" s="5"/>
    </row>
    <row r="23" spans="2:3" x14ac:dyDescent="0.35">
      <c r="B23" s="1"/>
    </row>
    <row r="24" spans="2:3" x14ac:dyDescent="0.35">
      <c r="B24" s="11"/>
      <c r="C24" s="8"/>
    </row>
    <row r="25" spans="2:3" x14ac:dyDescent="0.35">
      <c r="B25" s="11"/>
      <c r="C25" s="9"/>
    </row>
    <row r="26" spans="2:3" x14ac:dyDescent="0.35">
      <c r="B26" s="9"/>
      <c r="C26" s="9"/>
    </row>
    <row r="27" spans="2:3" x14ac:dyDescent="0.35">
      <c r="C27" s="8"/>
    </row>
    <row r="28" spans="2:3" x14ac:dyDescent="0.35">
      <c r="B28" s="5"/>
      <c r="C28" s="5"/>
    </row>
    <row r="29" spans="2:3" x14ac:dyDescent="0.35">
      <c r="B29" s="1"/>
    </row>
    <row r="38" spans="2:2" x14ac:dyDescent="0.35">
      <c r="B38" s="1"/>
    </row>
    <row r="39" spans="2:2" x14ac:dyDescent="0.35">
      <c r="B39"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D8A9F-B8BA-417E-A915-EA7B15CB6280}">
  <dimension ref="A1:D27"/>
  <sheetViews>
    <sheetView topLeftCell="A13" workbookViewId="0">
      <selection activeCell="G21" sqref="G21"/>
    </sheetView>
  </sheetViews>
  <sheetFormatPr baseColWidth="10" defaultRowHeight="14.5" x14ac:dyDescent="0.35"/>
  <sheetData>
    <row r="1" spans="1:4" x14ac:dyDescent="0.35">
      <c r="A1" t="s">
        <v>5</v>
      </c>
      <c r="B1" t="s">
        <v>6</v>
      </c>
      <c r="C1" s="2" t="s">
        <v>7</v>
      </c>
    </row>
    <row r="2" spans="1:4" x14ac:dyDescent="0.35">
      <c r="A2" s="6" t="s">
        <v>29</v>
      </c>
      <c r="B2" s="5" t="s">
        <v>30</v>
      </c>
      <c r="C2" s="2" t="s">
        <v>31</v>
      </c>
      <c r="D2" s="16" t="s">
        <v>280</v>
      </c>
    </row>
    <row r="3" spans="1:4" x14ac:dyDescent="0.35">
      <c r="A3" s="6" t="s">
        <v>29</v>
      </c>
      <c r="B3" s="5" t="s">
        <v>46</v>
      </c>
      <c r="C3" s="2" t="s">
        <v>31</v>
      </c>
      <c r="D3" s="16" t="s">
        <v>280</v>
      </c>
    </row>
    <row r="4" spans="1:4" x14ac:dyDescent="0.35">
      <c r="A4" s="6" t="s">
        <v>52</v>
      </c>
      <c r="B4" t="s">
        <v>30</v>
      </c>
      <c r="C4" s="2" t="s">
        <v>31</v>
      </c>
      <c r="D4" s="16" t="s">
        <v>280</v>
      </c>
    </row>
    <row r="5" spans="1:4" x14ac:dyDescent="0.35">
      <c r="A5" s="6" t="s">
        <v>57</v>
      </c>
      <c r="B5" s="5" t="s">
        <v>30</v>
      </c>
      <c r="C5" s="2" t="s">
        <v>58</v>
      </c>
      <c r="D5" s="16" t="s">
        <v>281</v>
      </c>
    </row>
    <row r="6" spans="1:4" x14ac:dyDescent="0.35">
      <c r="A6" s="2" t="s">
        <v>63</v>
      </c>
      <c r="B6" s="6" t="s">
        <v>46</v>
      </c>
      <c r="C6" s="2" t="s">
        <v>31</v>
      </c>
      <c r="D6" s="16" t="s">
        <v>282</v>
      </c>
    </row>
    <row r="7" spans="1:4" x14ac:dyDescent="0.35">
      <c r="A7" s="6" t="s">
        <v>78</v>
      </c>
      <c r="B7" s="5" t="s">
        <v>46</v>
      </c>
      <c r="C7" s="2" t="s">
        <v>58</v>
      </c>
      <c r="D7" s="16" t="s">
        <v>281</v>
      </c>
    </row>
    <row r="8" spans="1:4" x14ac:dyDescent="0.35">
      <c r="A8" s="6" t="s">
        <v>95</v>
      </c>
      <c r="B8" t="s">
        <v>30</v>
      </c>
      <c r="C8" s="2" t="s">
        <v>58</v>
      </c>
      <c r="D8" s="16" t="s">
        <v>281</v>
      </c>
    </row>
    <row r="9" spans="1:4" x14ac:dyDescent="0.35">
      <c r="A9" s="6" t="s">
        <v>102</v>
      </c>
      <c r="B9" s="5" t="s">
        <v>30</v>
      </c>
      <c r="C9" s="2" t="s">
        <v>31</v>
      </c>
      <c r="D9" s="16" t="s">
        <v>282</v>
      </c>
    </row>
    <row r="10" spans="1:4" x14ac:dyDescent="0.35">
      <c r="A10" s="6" t="s">
        <v>106</v>
      </c>
      <c r="B10" t="s">
        <v>46</v>
      </c>
      <c r="C10" s="2" t="s">
        <v>58</v>
      </c>
      <c r="D10" s="16" t="s">
        <v>281</v>
      </c>
    </row>
    <row r="11" spans="1:4" x14ac:dyDescent="0.35">
      <c r="A11" s="6" t="s">
        <v>112</v>
      </c>
      <c r="B11" s="5" t="s">
        <v>30</v>
      </c>
      <c r="C11" s="2" t="s">
        <v>58</v>
      </c>
      <c r="D11" s="16" t="s">
        <v>281</v>
      </c>
    </row>
    <row r="12" spans="1:4" x14ac:dyDescent="0.35">
      <c r="A12" s="6" t="s">
        <v>116</v>
      </c>
      <c r="B12" t="s">
        <v>30</v>
      </c>
      <c r="C12" s="2" t="s">
        <v>58</v>
      </c>
      <c r="D12" s="16" t="s">
        <v>281</v>
      </c>
    </row>
    <row r="13" spans="1:4" x14ac:dyDescent="0.35">
      <c r="A13" s="6" t="s">
        <v>148</v>
      </c>
      <c r="B13" s="5" t="s">
        <v>149</v>
      </c>
      <c r="C13" s="2" t="s">
        <v>150</v>
      </c>
      <c r="D13" s="16" t="s">
        <v>283</v>
      </c>
    </row>
    <row r="14" spans="1:4" x14ac:dyDescent="0.35">
      <c r="A14" s="6" t="s">
        <v>132</v>
      </c>
      <c r="B14" s="5" t="s">
        <v>30</v>
      </c>
      <c r="C14" s="2" t="s">
        <v>133</v>
      </c>
      <c r="D14" s="16" t="s">
        <v>284</v>
      </c>
    </row>
    <row r="15" spans="1:4" x14ac:dyDescent="0.35">
      <c r="A15" s="13" t="s">
        <v>187</v>
      </c>
      <c r="B15" s="14" t="s">
        <v>46</v>
      </c>
      <c r="C15" s="15" t="s">
        <v>188</v>
      </c>
      <c r="D15" s="16" t="s">
        <v>286</v>
      </c>
    </row>
    <row r="16" spans="1:4" x14ac:dyDescent="0.35">
      <c r="A16" t="s">
        <v>197</v>
      </c>
      <c r="B16" t="s">
        <v>198</v>
      </c>
      <c r="C16" s="2" t="s">
        <v>199</v>
      </c>
      <c r="D16" s="16" t="s">
        <v>285</v>
      </c>
    </row>
    <row r="17" spans="1:4" x14ac:dyDescent="0.35">
      <c r="A17" t="s">
        <v>208</v>
      </c>
      <c r="B17" t="s">
        <v>46</v>
      </c>
      <c r="C17" s="2" t="s">
        <v>209</v>
      </c>
      <c r="D17" s="16" t="s">
        <v>287</v>
      </c>
    </row>
    <row r="18" spans="1:4" x14ac:dyDescent="0.35">
      <c r="A18" t="s">
        <v>216</v>
      </c>
      <c r="B18" t="s">
        <v>46</v>
      </c>
      <c r="C18" s="2" t="s">
        <v>217</v>
      </c>
      <c r="D18" s="16" t="s">
        <v>288</v>
      </c>
    </row>
    <row r="19" spans="1:4" x14ac:dyDescent="0.35">
      <c r="A19" t="s">
        <v>223</v>
      </c>
      <c r="B19" t="s">
        <v>46</v>
      </c>
      <c r="C19" s="2" t="s">
        <v>224</v>
      </c>
      <c r="D19" s="16" t="s">
        <v>289</v>
      </c>
    </row>
    <row r="20" spans="1:4" x14ac:dyDescent="0.35">
      <c r="A20" t="s">
        <v>233</v>
      </c>
      <c r="B20" t="s">
        <v>46</v>
      </c>
      <c r="C20" s="2" t="s">
        <v>224</v>
      </c>
      <c r="D20" s="16" t="s">
        <v>289</v>
      </c>
    </row>
    <row r="21" spans="1:4" x14ac:dyDescent="0.35">
      <c r="A21" t="s">
        <v>241</v>
      </c>
      <c r="B21" t="s">
        <v>46</v>
      </c>
      <c r="C21" s="2" t="s">
        <v>224</v>
      </c>
      <c r="D21" s="16" t="s">
        <v>289</v>
      </c>
    </row>
    <row r="22" spans="1:4" x14ac:dyDescent="0.35">
      <c r="A22" t="s">
        <v>247</v>
      </c>
      <c r="B22" t="s">
        <v>46</v>
      </c>
      <c r="C22" s="2" t="s">
        <v>248</v>
      </c>
      <c r="D22" s="16" t="s">
        <v>290</v>
      </c>
    </row>
    <row r="23" spans="1:4" x14ac:dyDescent="0.35">
      <c r="A23" t="s">
        <v>253</v>
      </c>
      <c r="B23" t="s">
        <v>198</v>
      </c>
      <c r="C23" s="2" t="s">
        <v>199</v>
      </c>
      <c r="D23" s="16" t="s">
        <v>291</v>
      </c>
    </row>
    <row r="24" spans="1:4" x14ac:dyDescent="0.35">
      <c r="A24" s="12" t="s">
        <v>260</v>
      </c>
      <c r="B24" s="8" t="s">
        <v>198</v>
      </c>
      <c r="C24" s="3" t="s">
        <v>199</v>
      </c>
      <c r="D24" s="16" t="s">
        <v>292</v>
      </c>
    </row>
    <row r="25" spans="1:4" x14ac:dyDescent="0.35">
      <c r="A25" s="12" t="s">
        <v>269</v>
      </c>
      <c r="B25" s="8" t="s">
        <v>46</v>
      </c>
      <c r="C25" s="3" t="s">
        <v>270</v>
      </c>
      <c r="D25" s="16" t="s">
        <v>293</v>
      </c>
    </row>
    <row r="26" spans="1:4" x14ac:dyDescent="0.35">
      <c r="A26" s="8" t="s">
        <v>274</v>
      </c>
      <c r="B26" s="8" t="s">
        <v>198</v>
      </c>
      <c r="C26" s="3" t="s">
        <v>199</v>
      </c>
      <c r="D26" s="16" t="s">
        <v>285</v>
      </c>
    </row>
    <row r="27" spans="1:4" x14ac:dyDescent="0.35">
      <c r="A27" s="8"/>
      <c r="B27" s="8"/>
      <c r="C27"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Feuil3</vt:lpstr>
      <vt:lpstr>Feuil2</vt: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 PITCHERS</dc:creator>
  <cp:lastModifiedBy>Julie PITCHERS</cp:lastModifiedBy>
  <dcterms:created xsi:type="dcterms:W3CDTF">2026-06-22T09:16:50Z</dcterms:created>
  <dcterms:modified xsi:type="dcterms:W3CDTF">2026-06-24T12:35:25Z</dcterms:modified>
</cp:coreProperties>
</file>